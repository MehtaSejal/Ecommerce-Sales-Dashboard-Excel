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Practise - Projects\Ecommerce Sales Dashboard Excel\Data + Dashboard\"/>
    </mc:Choice>
  </mc:AlternateContent>
  <xr:revisionPtr revIDLastSave="0" documentId="13_ncr:1_{7768FAED-790F-4DAD-85D7-82B7AC5D7C55}" xr6:coauthVersionLast="47" xr6:coauthVersionMax="47" xr10:uidLastSave="{00000000-0000-0000-0000-000000000000}"/>
  <bookViews>
    <workbookView xWindow="28680" yWindow="-120" windowWidth="29040" windowHeight="15720" firstSheet="3" activeTab="9" xr2:uid="{346724B3-1C49-40AE-AA36-C77CF5D6DD09}"/>
  </bookViews>
  <sheets>
    <sheet name="Product by Qty" sheetId="11" r:id="rId1"/>
    <sheet name="Summary Trend" sheetId="5" r:id="rId2"/>
    <sheet name="Channel Analysis" sheetId="9" r:id="rId3"/>
    <sheet name="Order Quantity" sheetId="10" r:id="rId4"/>
    <sheet name="Giographical Analysis" sheetId="12" r:id="rId5"/>
    <sheet name="Shipment Duration" sheetId="14" r:id="rId6"/>
    <sheet name="Customer Satisfaction" sheetId="15" r:id="rId7"/>
    <sheet name="Data" sheetId="1" r:id="rId8"/>
    <sheet name="Questions &amp; KPIs" sheetId="2" r:id="rId9"/>
    <sheet name="Dashboards" sheetId="7" r:id="rId10"/>
  </sheets>
  <definedNames>
    <definedName name="_xlchart.v5.0" hidden="1">'Giographical Analysis'!$K$3:$L$3</definedName>
    <definedName name="_xlchart.v5.1" hidden="1">'Giographical Analysis'!$K$4:$L$61</definedName>
    <definedName name="_xlchart.v5.2" hidden="1">'Giographical Analysis'!$M$3</definedName>
    <definedName name="_xlchart.v5.3" hidden="1">'Giographical Analysis'!$M$4:$M$61</definedName>
    <definedName name="_xlchart.v5.4" hidden="1">'Giographical Analysis'!$G$3:$H$3</definedName>
    <definedName name="_xlchart.v5.5" hidden="1">'Giographical Analysis'!$G$4:$H$61</definedName>
    <definedName name="_xlchart.v5.6" hidden="1">'Giographical Analysis'!$I$3</definedName>
    <definedName name="_xlchart.v5.7" hidden="1">'Giographical Analysis'!$I$4:$I$61</definedName>
    <definedName name="Slicer_Gender_Value">#N/A</definedName>
    <definedName name="Slicer_Order_Mod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5" l="1"/>
  <c r="J6" i="9"/>
  <c r="K6" i="9"/>
  <c r="L6" i="9"/>
  <c r="M6" i="9"/>
  <c r="J7" i="9"/>
  <c r="K7" i="9"/>
  <c r="L7" i="9"/>
  <c r="M7" i="9"/>
  <c r="J8" i="9"/>
  <c r="K8" i="9"/>
  <c r="L8" i="9"/>
  <c r="M8" i="9"/>
  <c r="J9" i="9"/>
  <c r="K9" i="9"/>
  <c r="L9" i="9"/>
  <c r="M9" i="9"/>
  <c r="K5" i="9"/>
  <c r="L5" i="9"/>
  <c r="M5" i="9"/>
  <c r="K4" i="9"/>
  <c r="L4" i="9"/>
  <c r="M4" i="9"/>
  <c r="J4" i="9"/>
  <c r="J5" i="9"/>
  <c r="I6" i="9"/>
  <c r="I7" i="9"/>
  <c r="I8" i="9"/>
  <c r="I9" i="9"/>
  <c r="I5" i="9"/>
  <c r="K4" i="5"/>
  <c r="J4" i="5"/>
  <c r="G4" i="5"/>
  <c r="H4" i="5"/>
  <c r="O2" i="1" a="1"/>
  <c r="O2" i="1" s="1"/>
  <c r="N2" i="1"/>
  <c r="M2" i="1"/>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a="1"/>
  <c r="O2319" i="1" s="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c r="O2269" i="1" a="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c r="O2250" i="1" a="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c r="O2197" i="1" a="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a="1"/>
  <c r="O2174" i="1" s="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c r="O2101" i="1" a="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c r="O2050" i="1" a="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a="1"/>
  <c r="O2038" i="1" s="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c r="O1806" i="1" a="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c r="O1799" i="1" a="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c r="O1729" i="1" a="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a="1"/>
  <c r="O1670" i="1" s="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c r="O1610" i="1" a="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a="1"/>
  <c r="O1440" i="1" s="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a="1"/>
  <c r="O979" i="1" s="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a="1"/>
  <c r="O893" i="1" s="1"/>
  <c r="N893" i="1"/>
  <c r="M893" i="1"/>
  <c r="O892" i="1" a="1"/>
  <c r="O892" i="1" s="1"/>
  <c r="N892" i="1"/>
  <c r="M892" i="1"/>
  <c r="O891" i="1"/>
  <c r="O891" i="1" a="1"/>
  <c r="N891" i="1"/>
  <c r="M891" i="1"/>
  <c r="O890" i="1"/>
  <c r="O890" i="1" a="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c r="O868" i="1" a="1"/>
  <c r="N868" i="1"/>
  <c r="M868" i="1"/>
  <c r="O867" i="1"/>
  <c r="O867" i="1" a="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a="1"/>
  <c r="O855" i="1" s="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c r="O818" i="1" a="1"/>
  <c r="N818" i="1"/>
  <c r="M818" i="1"/>
  <c r="O817" i="1" a="1"/>
  <c r="O817" i="1" s="1"/>
  <c r="N817" i="1"/>
  <c r="M817" i="1"/>
  <c r="O816" i="1"/>
  <c r="O816" i="1" a="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c r="O797" i="1" a="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a="1"/>
  <c r="O755" i="1" s="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a="1"/>
  <c r="O688" i="1" s="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c r="O624" i="1" a="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c r="O531" i="1" a="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c r="O524" i="1" a="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c r="O491" i="1" a="1"/>
  <c r="N491" i="1"/>
  <c r="M491" i="1"/>
  <c r="O490" i="1" a="1"/>
  <c r="O490" i="1" s="1"/>
  <c r="N490" i="1"/>
  <c r="M490" i="1"/>
  <c r="O489" i="1" a="1"/>
  <c r="O489" i="1" s="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a="1"/>
  <c r="O447" i="1" s="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c r="O431" i="1" a="1"/>
  <c r="N431" i="1"/>
  <c r="M431" i="1"/>
  <c r="O430" i="1"/>
  <c r="O430" i="1" a="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c r="O423" i="1" a="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c r="O350" i="1" a="1"/>
  <c r="N350" i="1"/>
  <c r="M350" i="1"/>
  <c r="O349" i="1"/>
  <c r="O349" i="1" a="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c r="O290" i="1" a="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c r="O192" i="1" a="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c r="O124" i="1" a="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a="1"/>
  <c r="O94" i="1" s="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a="1"/>
  <c r="O79" i="1" s="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c r="O41" i="1" a="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<sst xmlns="http://schemas.openxmlformats.org/spreadsheetml/2006/main" count="14877" uniqueCount="2543">
  <si>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</si>
  <si>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</si>
  <si>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</si>
  <si>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</si>
  <si>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</si>
  <si>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</si>
  <si>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</si>
  <si>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</si>
  <si>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</si>
  <si>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</si>
  <si>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</si>
  <si>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</si>
  <si>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</si>
  <si>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</si>
  <si>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</si>
  <si>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</si>
  <si>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</si>
  <si>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</si>
  <si>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</si>
  <si>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</si>
  <si>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</si>
  <si>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</si>
  <si>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</si>
  <si>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</si>
  <si>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</si>
  <si>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</si>
  <si>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</si>
  <si>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</si>
  <si>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</si>
  <si>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</si>
  <si>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</si>
  <si>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</si>
  <si>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</si>
  <si>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</si>
  <si>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</si>
  <si>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</si>
  <si>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</si>
  <si>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</si>
  <si>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</si>
  <si>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</si>
  <si>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</si>
  <si>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</si>
  <si>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</si>
  <si>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</si>
  <si>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</si>
  <si>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</si>
  <si>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</si>
  <si>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</si>
  <si>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</si>
  <si>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</si>
  <si>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</si>
  <si>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</si>
  <si>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</si>
  <si>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</si>
  <si>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</si>
  <si>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</si>
  <si>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</si>
  <si>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</si>
  <si>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</si>
  <si>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</si>
  <si>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</si>
  <si>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</si>
  <si>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</si>
  <si>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</si>
  <si>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</si>
  <si>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</si>
  <si>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</si>
  <si>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</si>
  <si>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</si>
  <si>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</si>
  <si>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</si>
  <si>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</si>
  <si>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</si>
  <si>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</si>
  <si>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</si>
  <si>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</si>
  <si>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</si>
  <si>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</si>
  <si>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</si>
  <si>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</si>
  <si>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</si>
  <si>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</si>
  <si>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</si>
  <si>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</si>
  <si>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</si>
  <si>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</si>
  <si>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</si>
  <si>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</si>
  <si>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</si>
  <si>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</si>
  <si>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</si>
  <si>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</si>
  <si>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</si>
  <si>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</si>
  <si>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</si>
  <si>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</si>
  <si>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</si>
  <si>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</si>
  <si>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</si>
  <si>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</si>
  <si>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</si>
  <si>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</si>
  <si>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</si>
  <si>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</si>
  <si>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</si>
  <si>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</si>
  <si>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</si>
  <si>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</si>
  <si>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</si>
  <si>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</si>
  <si>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</si>
  <si>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</si>
  <si>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</si>
  <si>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</si>
  <si>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</si>
  <si>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</si>
  <si>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</si>
  <si>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</si>
  <si>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</si>
  <si>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</si>
  <si>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</si>
  <si>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</si>
  <si>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</si>
  <si>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</si>
  <si>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</si>
  <si>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</si>
  <si>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</si>
  <si>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</si>
  <si>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</si>
  <si>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</si>
  <si>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</si>
  <si>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</si>
  <si>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</si>
  <si>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</si>
  <si>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</si>
  <si>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</si>
  <si>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</si>
  <si>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</si>
  <si>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</si>
  <si>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</si>
  <si>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</si>
  <si>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</si>
  <si>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</si>
  <si>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</si>
  <si>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</si>
  <si>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</si>
  <si>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</si>
  <si>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</si>
  <si>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</si>
  <si>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</si>
  <si>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</si>
  <si>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</si>
  <si>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</si>
  <si>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</si>
  <si>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</si>
  <si>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</si>
  <si>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</si>
  <si>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</si>
  <si>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</si>
  <si>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</si>
  <si>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</si>
  <si>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</si>
  <si>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</si>
  <si>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</si>
  <si>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</si>
  <si>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</si>
  <si>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</si>
  <si>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</si>
  <si>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</si>
  <si>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</si>
  <si>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</si>
  <si>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</si>
  <si>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</si>
  <si>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</si>
  <si>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</si>
  <si>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</si>
  <si>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</si>
  <si>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</si>
  <si>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</si>
  <si>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</si>
  <si>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</si>
  <si>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</si>
  <si>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</si>
  <si>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</si>
  <si>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</si>
  <si>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</si>
  <si>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</si>
  <si>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</si>
  <si>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</si>
  <si>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</si>
  <si>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</si>
  <si>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</si>
  <si>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</si>
  <si>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</si>
  <si>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</si>
  <si>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</si>
  <si>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</si>
  <si>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</si>
  <si>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</si>
  <si>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</si>
  <si>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</si>
  <si>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</si>
  <si>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</si>
  <si>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</si>
  <si>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</si>
  <si>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</si>
  <si>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</si>
  <si>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</si>
  <si>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</si>
  <si>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</si>
  <si>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</si>
  <si>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</si>
  <si>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</si>
  <si>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</si>
  <si>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</si>
  <si>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</si>
  <si>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</si>
  <si>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</si>
  <si>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</si>
  <si>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</si>
  <si>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</si>
  <si>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</si>
  <si>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</si>
  <si>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</si>
  <si>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</si>
  <si>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</si>
  <si>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</si>
  <si>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</si>
  <si>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</si>
  <si>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</si>
  <si>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</si>
  <si>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</si>
  <si>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</si>
  <si>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</si>
  <si>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</si>
  <si>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</si>
  <si>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</si>
  <si>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</si>
  <si>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</si>
  <si>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</si>
  <si>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</si>
  <si>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</si>
  <si>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</si>
  <si>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</si>
  <si>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</si>
  <si>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</si>
  <si>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</si>
  <si>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</si>
  <si>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</si>
  <si>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</si>
  <si>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</si>
  <si>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</si>
  <si>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</si>
  <si>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</si>
  <si>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</si>
  <si>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</si>
  <si>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</si>
  <si>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</si>
  <si>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</si>
  <si>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</si>
  <si>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</si>
  <si>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</si>
  <si>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</si>
  <si>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</si>
  <si>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</si>
  <si>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</si>
  <si>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</si>
  <si>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</si>
  <si>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</si>
  <si>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</si>
  <si>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</si>
  <si>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</si>
  <si>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</si>
  <si>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</si>
  <si>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</si>
  <si>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</si>
  <si>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</si>
  <si>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</si>
  <si>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</si>
  <si>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</si>
  <si>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</si>
  <si>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</si>
  <si>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</si>
  <si>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</si>
  <si>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</si>
  <si>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</si>
  <si>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</si>
  <si>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</si>
  <si>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</si>
  <si>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</si>
  <si>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</si>
  <si>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</si>
  <si>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</si>
  <si>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</si>
  <si>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</si>
  <si>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</si>
  <si>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</si>
  <si>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</si>
  <si>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</si>
  <si>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</si>
  <si>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</si>
  <si>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</si>
  <si>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</si>
  <si>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</si>
  <si>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</si>
  <si>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</si>
  <si>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</si>
  <si>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</si>
  <si>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</si>
  <si>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</si>
  <si>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</si>
  <si>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</si>
  <si>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</si>
  <si>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</si>
  <si>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</si>
  <si>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</si>
  <si>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</si>
  <si>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</si>
  <si>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</si>
  <si>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</si>
  <si>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</si>
  <si>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</si>
  <si>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</si>
  <si>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</si>
  <si>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</si>
  <si>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</si>
  <si>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</si>
  <si>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</si>
  <si>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</si>
  <si>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</si>
  <si>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</si>
  <si>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</si>
  <si>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</si>
  <si>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</si>
  <si>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</si>
  <si>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</si>
  <si>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</si>
  <si>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</si>
  <si>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</si>
  <si>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</si>
  <si>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</si>
  <si>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</si>
  <si>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</si>
  <si>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</si>
  <si>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</si>
  <si>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</si>
  <si>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</si>
  <si>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</si>
  <si>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</si>
  <si>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</si>
  <si>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</si>
  <si>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</si>
  <si>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</si>
  <si>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</si>
  <si>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</si>
  <si>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</si>
  <si>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</si>
  <si>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</si>
  <si>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</si>
  <si>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</si>
  <si>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</si>
  <si>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</si>
  <si>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</si>
  <si>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</si>
  <si>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</si>
  <si>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</si>
  <si>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</si>
  <si>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</si>
  <si>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</si>
  <si>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</si>
  <si>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</si>
  <si>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</si>
  <si>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</si>
  <si>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</si>
  <si>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</si>
  <si>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</si>
  <si>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</si>
  <si>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</si>
  <si>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</si>
  <si>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</si>
  <si>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</si>
  <si>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</si>
  <si>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</si>
  <si>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</si>
  <si>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</si>
  <si>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</si>
  <si>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</si>
  <si>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</si>
  <si>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</si>
  <si>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</si>
  <si>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</si>
  <si>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</si>
  <si>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</si>
  <si>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</si>
  <si>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</si>
  <si>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</si>
  <si>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</si>
  <si>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</si>
  <si>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</si>
  <si>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</si>
  <si>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</si>
  <si>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</si>
  <si>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</si>
  <si>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</si>
  <si>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</si>
  <si>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</si>
  <si>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</si>
  <si>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</si>
  <si>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</si>
  <si>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</si>
  <si>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</si>
  <si>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</si>
  <si>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</si>
  <si>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</si>
  <si>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</si>
  <si>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</si>
  <si>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</si>
  <si>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</si>
  <si>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</si>
  <si>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</si>
  <si>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</si>
  <si>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</si>
  <si>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</si>
  <si>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</si>
  <si>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</si>
  <si>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</si>
  <si>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</si>
  <si>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</si>
  <si>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</si>
  <si>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</si>
  <si>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</si>
  <si>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</si>
  <si>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</si>
  <si>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</si>
  <si>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</si>
  <si>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</si>
  <si>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</si>
  <si>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</si>
  <si>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</si>
  <si>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</si>
  <si>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</si>
  <si>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</si>
  <si>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</si>
  <si>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</si>
  <si>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</si>
  <si>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</si>
  <si>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</si>
  <si>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</si>
  <si>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</si>
  <si>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</si>
  <si>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</si>
  <si>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</si>
  <si>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</si>
  <si>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</si>
  <si>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</si>
  <si>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</si>
  <si>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</si>
  <si>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</si>
  <si>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</si>
  <si>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</si>
  <si>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</si>
  <si>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</si>
  <si>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</si>
  <si>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</si>
  <si>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</si>
  <si>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</si>
  <si>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</si>
  <si>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</si>
  <si>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</si>
  <si>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</si>
  <si>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</si>
  <si>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</si>
  <si>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</si>
  <si>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</si>
  <si>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</si>
  <si>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</si>
  <si>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</si>
  <si>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</si>
  <si>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</si>
  <si>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</si>
  <si>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</si>
  <si>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</si>
  <si>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</si>
  <si>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</si>
  <si>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</si>
  <si>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</si>
  <si>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</si>
  <si>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</si>
  <si>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</si>
  <si>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</si>
  <si>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</si>
  <si>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</si>
  <si>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</si>
  <si>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</si>
  <si>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</si>
  <si>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</si>
  <si>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</si>
  <si>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</si>
  <si>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</si>
  <si>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</si>
  <si>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</si>
  <si>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</si>
  <si>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</si>
  <si>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</si>
  <si>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</si>
  <si>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</si>
  <si>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</si>
  <si>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</si>
  <si>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</si>
  <si>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</si>
  <si>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</si>
  <si>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</si>
  <si>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</si>
  <si>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</si>
  <si>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</si>
  <si>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</si>
  <si>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</si>
  <si>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</si>
  <si>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</si>
  <si>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</si>
  <si>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</si>
  <si>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</si>
  <si>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</si>
  <si>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</si>
  <si>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</si>
  <si>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</si>
  <si>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</si>
  <si>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</si>
  <si>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</si>
  <si>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</si>
  <si>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</si>
  <si>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</si>
  <si>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</si>
  <si>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</si>
  <si>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</si>
  <si>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</si>
  <si>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</si>
  <si>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</si>
  <si>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</si>
  <si>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</si>
  <si>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</si>
  <si>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</si>
  <si>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</si>
  <si>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</si>
  <si>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</si>
  <si>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</si>
  <si>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</si>
  <si>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</si>
  <si>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</si>
  <si>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</si>
  <si>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</si>
  <si>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</si>
  <si>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</si>
  <si>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</si>
  <si>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</si>
  <si>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</si>
  <si>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</si>
  <si>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</si>
  <si>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</si>
  <si>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</si>
  <si>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</si>
  <si>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</si>
  <si>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</si>
  <si>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</si>
  <si>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</si>
  <si>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</si>
  <si>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</si>
  <si>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</si>
  <si>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</si>
  <si>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</si>
  <si>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</si>
  <si>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</si>
  <si>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</si>
  <si>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</si>
  <si>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</si>
  <si>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</si>
  <si>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</si>
  <si>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</si>
  <si>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</si>
  <si>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</si>
  <si>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</si>
  <si>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</si>
  <si>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</si>
  <si>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</si>
  <si>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</si>
  <si>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</si>
  <si>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</si>
  <si>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</si>
  <si>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</si>
  <si>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</si>
  <si>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</si>
  <si>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</si>
  <si>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</si>
  <si>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</si>
  <si>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</si>
  <si>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</si>
  <si>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</si>
  <si>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</si>
  <si>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</si>
  <si>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</si>
  <si>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</si>
  <si>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</si>
  <si>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</si>
  <si>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</si>
  <si>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</si>
  <si>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</si>
  <si>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</si>
  <si>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</si>
  <si>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</si>
  <si>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</si>
  <si>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</si>
  <si>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</si>
  <si>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</si>
  <si>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</si>
  <si>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</si>
  <si>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</si>
  <si>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</si>
  <si>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</si>
  <si>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</si>
  <si>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</si>
  <si>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</si>
  <si>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</si>
  <si>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</si>
  <si>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</si>
  <si>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</si>
  <si>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</si>
  <si>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</si>
  <si>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</si>
  <si>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</si>
  <si>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</si>
  <si>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</si>
  <si>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</si>
  <si>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</si>
  <si>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</si>
  <si>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</si>
  <si>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</si>
  <si>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</si>
  <si>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</si>
  <si>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</si>
  <si>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</si>
  <si>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</si>
  <si>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</si>
  <si>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</si>
  <si>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</si>
  <si>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</si>
  <si>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</si>
  <si>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</si>
  <si>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</si>
  <si>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</si>
  <si>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</si>
  <si>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</si>
  <si>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</si>
  <si>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</si>
  <si>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</si>
  <si>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</si>
  <si>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</si>
  <si>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</si>
  <si>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</si>
  <si>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</si>
  <si>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</si>
  <si>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</si>
  <si>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</si>
  <si>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</si>
  <si>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</si>
  <si>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</si>
  <si>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</si>
  <si>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</si>
  <si>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</si>
  <si>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</si>
  <si>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</si>
  <si>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</si>
  <si>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</si>
  <si>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</si>
  <si>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</si>
  <si>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</si>
  <si>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</si>
  <si>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</si>
  <si>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</si>
  <si>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</si>
  <si>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</si>
  <si>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</si>
  <si>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</si>
  <si>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</si>
  <si>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</si>
  <si>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</si>
  <si>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</si>
  <si>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</si>
  <si>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</si>
  <si>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</si>
  <si>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</si>
  <si>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</si>
  <si>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</si>
  <si>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</si>
  <si>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</si>
  <si>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</si>
  <si>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</si>
  <si>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</si>
  <si>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</si>
  <si>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</si>
  <si>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</si>
  <si>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</si>
  <si>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</si>
  <si>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</si>
  <si>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</si>
  <si>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</si>
  <si>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</si>
  <si>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</si>
  <si>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</si>
  <si>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</si>
  <si>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</si>
  <si>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</si>
  <si>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</si>
  <si>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</si>
  <si>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</si>
  <si>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</si>
  <si>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</si>
  <si>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</si>
  <si>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</si>
  <si>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</si>
  <si>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</si>
  <si>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</si>
  <si>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</si>
  <si>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</si>
  <si>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</si>
  <si>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</si>
  <si>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</si>
  <si>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</si>
  <si>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</si>
  <si>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</si>
  <si>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</si>
  <si>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</si>
  <si>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</si>
  <si>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</si>
  <si>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</si>
  <si>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</si>
  <si>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</si>
  <si>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</si>
  <si>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</si>
  <si>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</si>
  <si>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</si>
  <si>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</si>
  <si>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</si>
  <si>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</si>
  <si>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</si>
  <si>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</si>
  <si>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</si>
  <si>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</si>
  <si>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</si>
  <si>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</si>
  <si>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</si>
  <si>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</si>
  <si>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</si>
  <si>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</si>
  <si>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</si>
  <si>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</si>
  <si>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</si>
  <si>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</si>
  <si>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</si>
  <si>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</si>
  <si>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</si>
  <si>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</si>
  <si>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</si>
  <si>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</si>
  <si>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</si>
  <si>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</si>
  <si>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</si>
  <si>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</si>
  <si>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</si>
  <si>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</si>
  <si>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</si>
  <si>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</si>
  <si>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</si>
  <si>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</si>
  <si>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</si>
  <si>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</si>
  <si>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</si>
  <si>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</si>
  <si>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</si>
  <si>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</si>
  <si>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</si>
  <si>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</si>
  <si>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</si>
  <si>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</si>
  <si>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</si>
  <si>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</si>
  <si>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</si>
  <si>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</si>
  <si>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</si>
  <si>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</si>
  <si>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</si>
  <si>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</si>
  <si>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</si>
  <si>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</si>
  <si>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</si>
  <si>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</si>
  <si>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</si>
  <si>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</si>
  <si>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</si>
  <si>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</si>
  <si>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</si>
  <si>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</si>
  <si>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</si>
  <si>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</si>
  <si>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</si>
  <si>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</si>
  <si>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</si>
  <si>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</si>
  <si>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</si>
  <si>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</si>
  <si>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</si>
  <si>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</si>
  <si>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</si>
  <si>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</si>
  <si>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</si>
  <si>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</si>
  <si>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</si>
  <si>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</si>
  <si>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</si>
  <si>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</si>
  <si>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</si>
  <si>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</si>
  <si>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</si>
  <si>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</si>
  <si>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</si>
  <si>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</si>
  <si>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</si>
  <si>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</si>
  <si>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</si>
  <si>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</si>
  <si>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</si>
  <si>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</si>
  <si>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</si>
  <si>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</si>
  <si>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</si>
  <si>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</si>
  <si>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</si>
  <si>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</si>
  <si>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</si>
  <si>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</si>
  <si>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</si>
  <si>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</si>
  <si>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</si>
  <si>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</si>
  <si>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</si>
  <si>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</si>
  <si>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</si>
  <si>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</si>
  <si>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</si>
  <si>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</si>
  <si>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</si>
  <si>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</si>
  <si>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</si>
  <si>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</si>
  <si>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</si>
  <si>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</si>
  <si>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</si>
  <si>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</si>
  <si>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</si>
  <si>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</si>
  <si>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</si>
  <si>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</si>
  <si>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</si>
  <si>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</si>
  <si>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</si>
  <si>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</si>
  <si>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</si>
  <si>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</si>
  <si>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</si>
  <si>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</si>
  <si>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</si>
  <si>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</si>
  <si>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</si>
  <si>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</si>
  <si>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</si>
  <si>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</si>
  <si>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</si>
  <si>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</si>
  <si>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</si>
  <si>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</si>
  <si>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</si>
  <si>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</si>
  <si>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</si>
  <si>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</si>
  <si>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</si>
  <si>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</si>
  <si>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</si>
  <si>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</si>
  <si>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</si>
  <si>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</si>
  <si>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</si>
  <si>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</si>
  <si>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</si>
  <si>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</si>
  <si>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</si>
  <si>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</si>
  <si>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</si>
  <si>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</si>
  <si>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</si>
  <si>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</si>
  <si>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</si>
  <si>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</si>
  <si>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</si>
  <si>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</si>
  <si>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</si>
  <si>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</si>
  <si>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</si>
  <si>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</si>
  <si>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</si>
  <si>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</si>
  <si>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</si>
  <si>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</si>
  <si>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</si>
  <si>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</si>
  <si>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</si>
  <si>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</si>
  <si>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</si>
  <si>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</si>
  <si>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</si>
  <si>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</si>
  <si>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</si>
  <si>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</si>
  <si>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</si>
  <si>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</si>
  <si>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</si>
  <si>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</si>
  <si>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</si>
  <si>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</si>
  <si>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</si>
  <si>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</si>
  <si>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</si>
  <si>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</si>
  <si>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</si>
  <si>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</si>
  <si>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</si>
  <si>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</si>
  <si>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</si>
  <si>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</si>
  <si>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</si>
  <si>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</si>
  <si>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</si>
  <si>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</si>
  <si>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</si>
  <si>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</si>
  <si>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</si>
  <si>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</si>
  <si>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</si>
  <si>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</si>
  <si>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</si>
  <si>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</si>
  <si>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</si>
  <si>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</si>
  <si>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</si>
  <si>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</si>
  <si>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</si>
  <si>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</si>
  <si>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</si>
  <si>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</si>
  <si>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</si>
  <si>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</si>
  <si>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</si>
  <si>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</si>
  <si>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</si>
  <si>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</si>
  <si>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</si>
  <si>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</si>
  <si>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</si>
  <si>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</si>
  <si>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</si>
  <si>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</si>
  <si>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</si>
  <si>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</si>
  <si>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</si>
  <si>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</si>
  <si>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</si>
  <si>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</si>
  <si>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</si>
  <si>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</si>
  <si>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</si>
  <si>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</si>
  <si>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</si>
  <si>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</si>
  <si>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</si>
  <si>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</si>
  <si>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</si>
  <si>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</si>
  <si>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</si>
  <si>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</si>
  <si>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</si>
  <si>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</si>
  <si>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</si>
  <si>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</si>
  <si>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</si>
  <si>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</si>
  <si>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</si>
  <si>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</si>
  <si>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</si>
  <si>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</si>
  <si>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</si>
  <si>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</si>
  <si>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</si>
  <si>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</si>
  <si>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</si>
  <si>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</si>
  <si>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</si>
  <si>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</si>
  <si>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</si>
  <si>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</si>
  <si>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</si>
  <si>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</si>
  <si>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</si>
  <si>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</si>
  <si>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</si>
  <si>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</si>
  <si>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</si>
  <si>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</si>
  <si>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</si>
  <si>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</si>
  <si>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</si>
  <si>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</si>
  <si>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</si>
  <si>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</si>
  <si>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</si>
  <si>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</si>
  <si>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</si>
  <si>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</si>
  <si>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</si>
  <si>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</si>
  <si>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</si>
  <si>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</si>
  <si>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</si>
  <si>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</si>
  <si>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</si>
  <si>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</si>
  <si>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</si>
  <si>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</si>
  <si>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</si>
  <si>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</si>
  <si>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</si>
  <si>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</si>
  <si>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</si>
  <si>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</si>
  <si>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</si>
  <si>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</si>
  <si>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</si>
  <si>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</si>
  <si>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</si>
  <si>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</si>
  <si>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</si>
  <si>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</si>
  <si>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</si>
  <si>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</si>
  <si>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</si>
  <si>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</si>
  <si>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</si>
  <si>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</si>
  <si>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</si>
  <si>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</si>
  <si>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</si>
  <si>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</si>
  <si>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</si>
  <si>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</si>
  <si>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</si>
  <si>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</si>
  <si>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</si>
  <si>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</si>
  <si>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</si>
  <si>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</si>
  <si>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</si>
  <si>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</si>
  <si>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</si>
  <si>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</si>
  <si>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</si>
  <si>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</si>
  <si>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</si>
  <si>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</si>
  <si>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</si>
  <si>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</si>
  <si>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</si>
  <si>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</si>
  <si>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</si>
  <si>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</si>
  <si>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</si>
  <si>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</si>
  <si>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</si>
  <si>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</si>
  <si>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</si>
  <si>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</si>
  <si>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</si>
  <si>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</si>
  <si>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</si>
  <si>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</si>
  <si>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</si>
  <si>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</si>
  <si>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</si>
  <si>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</si>
  <si>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</si>
  <si>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</si>
  <si>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</si>
  <si>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</si>
  <si>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</si>
  <si>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</si>
  <si>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</si>
  <si>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</si>
  <si>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</si>
  <si>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</si>
  <si>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</si>
  <si>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</si>
  <si>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</si>
  <si>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</si>
  <si>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</si>
  <si>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</si>
  <si>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</si>
  <si>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</si>
  <si>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</si>
  <si>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</si>
  <si>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</si>
  <si>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</si>
  <si>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</si>
  <si>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</si>
  <si>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</si>
  <si>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</si>
  <si>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</si>
  <si>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</si>
  <si>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</si>
  <si>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</si>
  <si>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</si>
  <si>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</si>
  <si>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</si>
  <si>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</si>
  <si>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</si>
  <si>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</si>
  <si>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</si>
  <si>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</si>
  <si>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</si>
  <si>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</si>
  <si>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</si>
  <si>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</si>
  <si>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</si>
  <si>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</si>
  <si>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</si>
  <si>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</si>
  <si>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</si>
  <si>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</si>
  <si>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</si>
  <si>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</si>
  <si>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</si>
  <si>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</si>
  <si>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</si>
  <si>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</si>
  <si>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</si>
  <si>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</si>
  <si>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</si>
  <si>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</si>
  <si>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</si>
  <si>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</si>
  <si>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</si>
  <si>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</si>
  <si>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</si>
  <si>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</si>
  <si>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</si>
  <si>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</si>
  <si>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</si>
  <si>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</si>
  <si>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</si>
  <si>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</si>
  <si>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</si>
  <si>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</si>
  <si>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</si>
  <si>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</si>
  <si>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</si>
  <si>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</si>
  <si>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</si>
  <si>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</si>
  <si>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</si>
  <si>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</si>
  <si>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</si>
  <si>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</si>
  <si>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</si>
  <si>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</si>
  <si>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</si>
  <si>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</si>
  <si>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</si>
  <si>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</si>
  <si>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</si>
  <si>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</si>
  <si>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</si>
  <si>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</si>
  <si>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</si>
  <si>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</si>
  <si>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</si>
  <si>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</si>
  <si>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</si>
  <si>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</si>
  <si>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</si>
  <si>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</si>
  <si>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</si>
  <si>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</si>
  <si>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</si>
  <si>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</si>
  <si>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</si>
  <si>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</si>
  <si>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</si>
  <si>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</si>
  <si>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</si>
  <si>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</si>
  <si>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</si>
  <si>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</si>
  <si>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</si>
  <si>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</si>
  <si>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</si>
  <si>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</si>
  <si>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</si>
  <si>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</si>
  <si>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</si>
  <si>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</si>
  <si>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</si>
  <si>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</si>
  <si>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</si>
  <si>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</si>
  <si>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</si>
  <si>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</si>
  <si>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</si>
  <si>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</si>
  <si>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</si>
  <si>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</si>
  <si>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</si>
  <si>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</si>
  <si>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</si>
  <si>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</si>
  <si>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</si>
  <si>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</si>
  <si>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</si>
  <si>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</si>
  <si>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</si>
  <si>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</si>
  <si>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</si>
  <si>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</si>
  <si>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</si>
  <si>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</si>
  <si>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</si>
  <si>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</si>
  <si>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</si>
  <si>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</si>
  <si>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</si>
  <si>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</si>
  <si>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</si>
  <si>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</si>
  <si>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</si>
  <si>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</si>
  <si>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</si>
  <si>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</si>
  <si>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</si>
  <si>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</si>
  <si>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</si>
  <si>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</si>
  <si>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</si>
  <si>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</si>
  <si>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</si>
  <si>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</si>
  <si>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</si>
  <si>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</si>
  <si>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</si>
  <si>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</si>
  <si>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</si>
  <si>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</si>
  <si>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</si>
  <si>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</si>
  <si>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</si>
  <si>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</si>
  <si>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</si>
  <si>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</si>
  <si>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</si>
  <si>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</si>
  <si>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</si>
  <si>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</si>
  <si>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</si>
  <si>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</si>
  <si>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</si>
  <si>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</si>
  <si>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</si>
  <si>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</si>
  <si>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</si>
  <si>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</si>
  <si>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</si>
  <si>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</si>
  <si>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</si>
  <si>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</si>
  <si>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</si>
  <si>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</si>
  <si>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</si>
  <si>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</si>
  <si>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</si>
  <si>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</si>
  <si>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</si>
  <si>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</si>
  <si>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</si>
  <si>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</si>
  <si>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</si>
  <si>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</si>
  <si>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</si>
  <si>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</si>
  <si>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</si>
  <si>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</si>
  <si>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</si>
  <si>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</si>
  <si>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</si>
  <si>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</si>
  <si>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</si>
  <si>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</si>
  <si>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</si>
  <si>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</si>
  <si>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</si>
  <si>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</si>
  <si>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</si>
  <si>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</si>
  <si>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</si>
  <si>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</si>
  <si>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</si>
  <si>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</si>
  <si>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</si>
  <si>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</si>
  <si>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</si>
  <si>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</si>
  <si>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</si>
  <si>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</si>
  <si>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</si>
  <si>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</si>
  <si>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</si>
  <si>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</si>
  <si>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</si>
  <si>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</si>
  <si>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</si>
  <si>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</si>
  <si>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</si>
  <si>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</si>
  <si>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</si>
  <si>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</si>
  <si>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</si>
  <si>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</si>
  <si>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</si>
  <si>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</si>
  <si>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</si>
  <si>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</si>
  <si>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</si>
  <si>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</si>
  <si>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</si>
  <si>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</si>
  <si>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</si>
  <si>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</si>
  <si>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</si>
  <si>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</si>
  <si>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</si>
  <si>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</si>
  <si>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</si>
  <si>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</si>
  <si>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</si>
  <si>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</si>
  <si>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</si>
  <si>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</si>
  <si>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</si>
  <si>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</si>
  <si>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</si>
  <si>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</si>
  <si>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</si>
  <si>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</si>
  <si>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</si>
  <si>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</si>
  <si>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</si>
  <si>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</si>
  <si>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</si>
  <si>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</si>
  <si>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</si>
  <si>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</si>
  <si>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</si>
  <si>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</si>
  <si>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</si>
  <si>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</si>
  <si>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</si>
  <si>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</si>
  <si>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</si>
  <si>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</si>
  <si>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</si>
  <si>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</si>
  <si>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</si>
  <si>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</si>
  <si>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</si>
  <si>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</si>
  <si>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</si>
  <si>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</si>
  <si>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</si>
  <si>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</si>
  <si>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</si>
  <si>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</si>
  <si>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</si>
  <si>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</si>
  <si>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</si>
  <si>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</si>
  <si>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</si>
  <si>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</si>
  <si>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</si>
  <si>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</si>
  <si>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</si>
  <si>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</si>
  <si>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</si>
  <si>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</si>
  <si>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</si>
  <si>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</si>
  <si>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</si>
  <si>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</si>
  <si>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</si>
  <si>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</si>
  <si>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</si>
  <si>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</si>
  <si>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</si>
  <si>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</si>
  <si>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</si>
  <si>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</si>
  <si>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</si>
  <si>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</si>
  <si>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</si>
  <si>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</si>
  <si>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</si>
  <si>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</si>
  <si>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</si>
  <si>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</si>
  <si>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</si>
  <si>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</si>
  <si>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</si>
  <si>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</si>
  <si>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</si>
  <si>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</si>
  <si>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</si>
  <si>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</si>
  <si>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</si>
  <si>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</si>
  <si>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</si>
  <si>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</si>
  <si>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</si>
  <si>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</si>
  <si>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</si>
  <si>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</si>
  <si>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</si>
  <si>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</si>
  <si>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</si>
  <si>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</si>
  <si>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</si>
  <si>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</si>
  <si>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</si>
  <si>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</si>
  <si>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</si>
  <si>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</si>
  <si>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</si>
  <si>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</si>
  <si>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</si>
  <si>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</si>
  <si>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</si>
  <si>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</si>
  <si>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</si>
  <si>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</si>
  <si>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</si>
  <si>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</si>
  <si>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</si>
  <si>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</si>
  <si>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</si>
  <si>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</si>
  <si>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</si>
  <si>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</si>
  <si>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</si>
  <si>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</si>
  <si>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</si>
  <si>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</si>
  <si>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</si>
  <si>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</si>
  <si>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</si>
  <si>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</si>
  <si>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</si>
  <si>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</si>
  <si>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</si>
  <si>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</si>
  <si>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</si>
  <si>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</si>
  <si>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</si>
  <si>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</si>
  <si>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</si>
  <si>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</si>
  <si>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</si>
  <si>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</si>
  <si>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</si>
  <si>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</si>
  <si>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</si>
  <si>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</si>
  <si>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</si>
  <si>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</si>
  <si>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</si>
  <si>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</si>
  <si>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</si>
  <si>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</si>
  <si>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</si>
  <si>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</si>
  <si>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</si>
  <si>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</si>
  <si>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</si>
  <si>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</si>
  <si>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</si>
  <si>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</si>
  <si>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</si>
  <si>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</si>
  <si>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</si>
  <si>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</si>
  <si>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</si>
  <si>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</si>
  <si>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</si>
  <si>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</si>
  <si>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</si>
  <si>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</si>
  <si>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</si>
  <si>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</si>
  <si>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</si>
  <si>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</si>
  <si>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</si>
  <si>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</si>
  <si>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</si>
  <si>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</si>
  <si>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</si>
  <si>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</si>
  <si>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</si>
  <si>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</si>
  <si>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</si>
  <si>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</si>
  <si>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</si>
  <si>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</si>
  <si>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</si>
  <si>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</si>
  <si>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</si>
  <si>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</si>
  <si>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</si>
  <si>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</si>
  <si>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</si>
  <si>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</si>
  <si>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</si>
  <si>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</si>
  <si>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</si>
  <si>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</si>
  <si>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</si>
  <si>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</si>
  <si>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</si>
  <si>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</si>
  <si>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</si>
  <si>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</si>
  <si>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</si>
  <si>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</si>
  <si>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</si>
  <si>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</si>
  <si>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</si>
  <si>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</si>
  <si>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</si>
  <si>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</si>
  <si>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</si>
  <si>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</si>
  <si>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</si>
  <si>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</si>
  <si>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</si>
  <si>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</si>
  <si>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</si>
  <si>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</si>
  <si>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</si>
  <si>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</si>
  <si>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</si>
  <si>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</si>
  <si>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</si>
  <si>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</si>
  <si>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</si>
  <si>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</si>
  <si>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</si>
  <si>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</si>
  <si>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</si>
  <si>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</si>
  <si>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</si>
  <si>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</si>
  <si>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</si>
  <si>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</si>
  <si>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</si>
  <si>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</si>
  <si>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</si>
  <si>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</si>
  <si>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</si>
  <si>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</si>
  <si>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</si>
  <si>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</si>
  <si>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</si>
  <si>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</si>
  <si>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</si>
  <si>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</si>
  <si>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</si>
  <si>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</si>
  <si>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</si>
  <si>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</si>
  <si>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</si>
  <si>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</si>
  <si>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</si>
  <si>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</si>
  <si>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</si>
  <si>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</si>
  <si>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</si>
  <si>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</si>
  <si>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</si>
  <si>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</si>
  <si>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</si>
  <si>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</si>
  <si>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</si>
  <si>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</si>
  <si>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</si>
  <si>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</si>
  <si>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</si>
  <si>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</si>
  <si>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</si>
  <si>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</si>
  <si>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</si>
  <si>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</si>
  <si>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</si>
  <si>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</si>
  <si>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</si>
  <si>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</si>
  <si>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</si>
  <si>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</si>
  <si>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</si>
  <si>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</si>
  <si>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</si>
  <si>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</si>
  <si>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</si>
  <si>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</si>
  <si>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</si>
  <si>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</si>
  <si>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</si>
  <si>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</si>
  <si>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</si>
  <si>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</si>
  <si>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</si>
  <si>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</si>
  <si>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</si>
  <si>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</si>
  <si>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</si>
  <si>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</si>
  <si>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</si>
  <si>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</si>
  <si>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</si>
  <si>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</si>
  <si>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</si>
  <si>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</si>
  <si>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</si>
  <si>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</si>
  <si>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</si>
  <si>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</si>
  <si>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</si>
  <si>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</si>
  <si>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</si>
  <si>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</si>
  <si>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</si>
  <si>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</si>
  <si>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</si>
  <si>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</si>
  <si>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</si>
  <si>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</si>
  <si>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</si>
  <si>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</si>
  <si>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</si>
  <si>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</si>
  <si>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</si>
  <si>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</si>
  <si>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</si>
  <si>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</si>
  <si>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</si>
  <si>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</si>
  <si>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</si>
  <si>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</si>
  <si>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</si>
  <si>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</si>
  <si>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</si>
  <si>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</si>
  <si>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</si>
  <si>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</si>
  <si>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</si>
  <si>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</si>
  <si>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</si>
  <si>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</si>
  <si>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</si>
  <si>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</si>
  <si>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</si>
  <si>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</si>
  <si>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</si>
  <si>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</si>
  <si>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</si>
  <si>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</si>
  <si>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</si>
  <si>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</si>
  <si>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</si>
  <si>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</si>
  <si>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</si>
  <si>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</si>
  <si>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</si>
  <si>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</si>
  <si>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</si>
  <si>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</si>
  <si>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</si>
  <si>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</si>
  <si>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</si>
  <si>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</si>
  <si>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</si>
  <si>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</si>
  <si>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</si>
  <si>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</si>
  <si>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</si>
  <si>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</si>
  <si>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</si>
  <si>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</si>
  <si>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</si>
  <si>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</si>
  <si>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</si>
  <si>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</si>
  <si>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</si>
  <si>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</si>
  <si>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</si>
  <si>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</si>
  <si>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</si>
  <si>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</si>
  <si>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</si>
  <si>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</si>
  <si>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</si>
  <si>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</si>
  <si>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</si>
  <si>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</si>
  <si>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</si>
  <si>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</si>
  <si>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</si>
  <si>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</si>
  <si>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</si>
  <si>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</si>
  <si>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</si>
  <si>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</si>
  <si>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</si>
  <si>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</si>
  <si>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</si>
  <si>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</si>
  <si>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</si>
  <si>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</si>
  <si>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</si>
  <si>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</si>
  <si>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</si>
  <si>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</si>
  <si>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</si>
  <si>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</si>
  <si>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</si>
  <si>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</si>
  <si>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</si>
  <si>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</si>
  <si>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</si>
  <si>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</si>
  <si>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</si>
  <si>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</si>
  <si>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</si>
  <si>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</si>
  <si>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</si>
  <si>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</si>
  <si>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</si>
  <si>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</si>
  <si>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</si>
  <si>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</si>
  <si>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</si>
  <si>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</si>
  <si>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</si>
  <si>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</si>
  <si>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</si>
  <si>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</si>
  <si>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</si>
  <si>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</si>
  <si>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</si>
  <si>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</si>
  <si>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</si>
  <si>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</si>
  <si>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</si>
  <si>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</si>
  <si>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</si>
  <si>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</si>
  <si>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</si>
  <si>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</si>
  <si>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</si>
  <si>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</si>
  <si>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</si>
  <si>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</si>
  <si>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</si>
  <si>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</si>
  <si>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</si>
  <si>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</si>
  <si>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</si>
  <si>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</si>
  <si>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</si>
  <si>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</si>
  <si>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</si>
  <si>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</si>
  <si>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</si>
  <si>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</si>
  <si>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</si>
  <si>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</si>
  <si>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</si>
  <si>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</si>
  <si>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</si>
  <si>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</si>
  <si>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</si>
  <si>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</si>
  <si>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</si>
  <si>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</si>
  <si>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</si>
  <si>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</si>
  <si>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</si>
  <si>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</si>
  <si>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</si>
  <si>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</si>
  <si>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</si>
  <si>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</si>
  <si>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</si>
  <si>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</si>
  <si>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</si>
  <si>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</si>
  <si>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</si>
  <si>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</si>
  <si>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</si>
  <si>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</si>
  <si>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</si>
  <si>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</si>
  <si>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</si>
  <si>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</si>
  <si>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</si>
  <si>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</si>
  <si>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</si>
  <si>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</si>
  <si>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</si>
  <si>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</si>
  <si>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</si>
  <si>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</si>
  <si>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</si>
  <si>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</si>
  <si>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</si>
  <si>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</si>
  <si>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</si>
  <si>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</si>
  <si>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</si>
  <si>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</si>
  <si>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</si>
  <si>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</si>
  <si>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</si>
  <si>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</si>
  <si>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</si>
  <si>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</si>
  <si>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</si>
  <si>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</si>
  <si>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</si>
  <si>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</si>
  <si>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</si>
  <si>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</si>
  <si>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</si>
  <si>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</si>
  <si>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</si>
  <si>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</si>
  <si>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</si>
  <si>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</si>
  <si>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</si>
  <si>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</si>
  <si>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</si>
  <si>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</si>
  <si>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</si>
  <si>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</si>
  <si>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</si>
  <si>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</si>
  <si>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</si>
  <si>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</si>
  <si>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</si>
  <si>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</si>
  <si>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</si>
  <si>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</si>
  <si>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</si>
  <si>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</si>
  <si>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</si>
  <si>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</si>
  <si>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</si>
  <si>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</si>
  <si>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</si>
  <si>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</si>
  <si>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</si>
  <si>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</si>
  <si>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</si>
  <si>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</si>
  <si>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</si>
  <si>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</si>
  <si>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</si>
  <si>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</si>
  <si>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</si>
  <si>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</si>
  <si>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</si>
  <si>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</si>
  <si>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</si>
  <si>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</si>
  <si>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</si>
  <si>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</si>
  <si>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</si>
  <si>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</si>
  <si>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</si>
  <si>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</si>
  <si>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</si>
  <si>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</si>
  <si>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</si>
  <si>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</si>
  <si>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</si>
  <si>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</si>
  <si>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</si>
  <si>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</si>
  <si>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</si>
  <si>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</si>
  <si>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</si>
  <si>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</si>
  <si>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</si>
  <si>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</si>
  <si>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</si>
  <si>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</si>
  <si>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</si>
  <si>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</si>
  <si>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</si>
  <si>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</si>
  <si>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</si>
  <si>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</si>
  <si>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</si>
  <si>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</si>
  <si>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</si>
  <si>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</si>
  <si>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</si>
  <si>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</si>
  <si>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</si>
  <si>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</si>
  <si>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</si>
  <si>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</si>
  <si>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</si>
  <si>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</si>
  <si>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</si>
  <si>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</si>
  <si>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</si>
  <si>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</si>
  <si>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</si>
  <si>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</si>
  <si>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</si>
  <si>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</si>
  <si>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</si>
  <si>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</si>
  <si>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</si>
  <si>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</si>
  <si>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</si>
  <si>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</si>
  <si>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</si>
  <si>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</si>
  <si>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</si>
  <si>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</si>
  <si>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</si>
  <si>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</si>
  <si>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</si>
  <si>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</si>
  <si>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</si>
  <si>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</si>
  <si>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</si>
  <si>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</si>
  <si>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</si>
  <si>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</si>
  <si>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</si>
  <si>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</si>
  <si>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</si>
  <si>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</si>
  <si>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</si>
  <si>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</si>
  <si>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</si>
  <si>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</si>
  <si>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</si>
  <si>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</si>
  <si>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</si>
  <si>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</si>
  <si>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</si>
  <si>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</si>
  <si>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</si>
  <si>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</si>
  <si>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</si>
  <si>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</si>
  <si>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</si>
  <si>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</si>
  <si>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</si>
  <si>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</si>
  <si>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</si>
  <si>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</si>
  <si>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</si>
  <si>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</si>
  <si>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</si>
  <si>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</si>
  <si>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</si>
  <si>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</si>
  <si>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</si>
  <si>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</si>
  <si>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</si>
  <si>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</si>
  <si>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</si>
  <si>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</si>
  <si>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</si>
  <si>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</si>
  <si>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</si>
  <si>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</si>
  <si>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</si>
  <si>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</si>
  <si>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</si>
  <si>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</si>
  <si>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</si>
  <si>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</si>
  <si>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</si>
  <si>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</si>
  <si>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</si>
  <si>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</si>
  <si>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</si>
  <si>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</si>
  <si>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</si>
  <si>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</si>
  <si>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</si>
  <si>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</si>
  <si>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</si>
  <si>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</si>
  <si>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</si>
  <si>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</si>
  <si>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</si>
  <si>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</si>
  <si>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</si>
  <si>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</si>
  <si>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</si>
  <si>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</si>
  <si>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</si>
  <si>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</si>
  <si>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</si>
  <si>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</si>
  <si>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</si>
  <si>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</si>
  <si>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</si>
  <si>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</si>
  <si>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</si>
  <si>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</si>
  <si>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</si>
  <si>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</si>
  <si>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</si>
  <si>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</si>
  <si>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</si>
  <si>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</si>
  <si>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</si>
  <si>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</si>
  <si>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</si>
  <si>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</si>
  <si>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</si>
  <si>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</si>
  <si>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</si>
  <si>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</si>
  <si>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</si>
  <si>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</si>
  <si>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</si>
  <si>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</si>
  <si>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</si>
  <si>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</si>
  <si>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</si>
  <si>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</si>
  <si>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</si>
  <si>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</si>
  <si>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</si>
  <si>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</si>
  <si>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</si>
  <si>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</si>
  <si>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</si>
  <si>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</si>
  <si>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</si>
  <si>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</si>
  <si>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</si>
  <si>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</si>
  <si>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</si>
  <si>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</si>
  <si>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</si>
  <si>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</si>
  <si>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</si>
  <si>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</si>
  <si>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</si>
  <si>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</si>
  <si>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</si>
  <si>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</si>
  <si>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</si>
  <si>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</si>
  <si>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</si>
  <si>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</si>
  <si>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</si>
  <si>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</si>
  <si>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</si>
  <si>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</si>
  <si>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</si>
  <si>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</si>
  <si>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</si>
  <si>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</si>
  <si>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</si>
  <si>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</si>
  <si>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</si>
  <si>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</si>
  <si>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</si>
  <si>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</si>
  <si>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</si>
  <si>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</si>
  <si>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</si>
  <si>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</si>
  <si>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</si>
  <si>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</si>
  <si>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</si>
  <si>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</si>
  <si>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</si>
  <si>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</si>
  <si>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</si>
  <si>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</si>
  <si>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</si>
  <si>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</si>
  <si>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</si>
  <si>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</si>
  <si>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</si>
  <si>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</si>
  <si>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</si>
  <si>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</si>
  <si>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</si>
  <si>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</si>
  <si>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</si>
  <si>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</si>
  <si>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</si>
  <si>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</si>
  <si>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</si>
  <si>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</si>
  <si>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</si>
  <si>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</si>
  <si>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</si>
  <si>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</si>
  <si>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</si>
  <si>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</si>
  <si>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</si>
  <si>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</si>
  <si>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</si>
  <si>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</si>
  <si>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</si>
  <si>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</si>
  <si>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</si>
  <si>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</si>
  <si>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</si>
  <si>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</si>
  <si>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</si>
  <si>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</si>
  <si>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</si>
  <si>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</si>
  <si>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</si>
  <si>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</si>
  <si>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</si>
  <si>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</si>
  <si>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</si>
  <si>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</si>
  <si>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</si>
  <si>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</si>
  <si>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</si>
  <si>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</si>
  <si>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</si>
  <si>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</si>
  <si>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</si>
  <si>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</si>
  <si>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</si>
  <si>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</si>
  <si>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</si>
  <si>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</si>
  <si>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</si>
  <si>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</si>
  <si>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</si>
  <si>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</si>
  <si>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</si>
  <si>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</si>
  <si>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</si>
  <si>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</si>
  <si>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</si>
  <si>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</si>
  <si>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</si>
  <si>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</si>
  <si>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</si>
  <si>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</si>
  <si>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</si>
  <si>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</si>
  <si>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</si>
  <si>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</si>
  <si>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</si>
  <si>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</si>
  <si>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</si>
  <si>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</si>
  <si>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</si>
  <si>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</si>
  <si>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</si>
  <si>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</si>
  <si>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</si>
  <si>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</si>
  <si>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</si>
  <si>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</si>
  <si>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</si>
  <si>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</si>
  <si>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</si>
  <si>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</si>
  <si>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</si>
  <si>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</si>
  <si>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</si>
  <si>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</si>
  <si>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</si>
  <si>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</si>
  <si>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</si>
  <si>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</si>
  <si>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</si>
  <si>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</si>
  <si>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</si>
  <si>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</si>
  <si>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</si>
  <si>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</si>
  <si>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</si>
  <si>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</si>
  <si>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</si>
  <si>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</si>
  <si>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</si>
  <si>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</si>
  <si>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</si>
  <si>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</si>
  <si>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</si>
  <si>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</si>
  <si>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</si>
  <si>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</si>
  <si>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</si>
  <si>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</si>
  <si>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</si>
  <si>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</si>
  <si>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</si>
  <si>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</si>
  <si>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</si>
  <si>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</si>
  <si>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</si>
  <si>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</si>
  <si>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</si>
  <si>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</si>
  <si>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</si>
  <si>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</si>
  <si>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</si>
  <si>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</si>
  <si>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</si>
  <si>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</si>
  <si>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</si>
  <si>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</si>
  <si>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</si>
  <si>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</si>
  <si>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</si>
  <si>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</si>
  <si>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</si>
  <si>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</si>
  <si>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</si>
  <si>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</si>
  <si>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</si>
  <si>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</si>
  <si>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</si>
  <si>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</si>
  <si>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</si>
  <si>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</si>
  <si>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</si>
  <si>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</si>
  <si>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</si>
  <si>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</si>
  <si>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</si>
  <si>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</si>
  <si>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</si>
  <si>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</si>
  <si>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</si>
  <si>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</si>
  <si>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</si>
  <si>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</si>
  <si>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</si>
  <si>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</si>
  <si>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</si>
  <si>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</si>
  <si>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</si>
  <si>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</si>
  <si>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</si>
  <si>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</si>
  <si>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</si>
  <si>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</si>
  <si>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</si>
  <si>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</si>
  <si>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</si>
  <si>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</si>
  <si>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</si>
  <si>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</si>
  <si>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</si>
  <si>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</si>
  <si>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</si>
  <si>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</si>
  <si>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</si>
  <si>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</si>
  <si>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</si>
  <si>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</si>
  <si>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</si>
  <si>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</si>
  <si>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</si>
  <si>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</si>
  <si>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</si>
  <si>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</si>
  <si>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</si>
  <si>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</si>
  <si>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</si>
  <si>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</si>
  <si>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</si>
  <si>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</si>
  <si>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</si>
  <si>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</si>
  <si>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</si>
  <si>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</si>
  <si>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</si>
  <si>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</si>
  <si>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</si>
  <si>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</si>
  <si>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</si>
  <si>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</si>
  <si>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</si>
  <si>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</si>
  <si>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</si>
  <si>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</si>
  <si>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</si>
  <si>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</si>
  <si>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</si>
  <si>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</si>
  <si>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</si>
  <si>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</si>
  <si>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</si>
  <si>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</si>
  <si>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</si>
  <si>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</si>
  <si>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</si>
  <si>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</si>
  <si>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</si>
  <si>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</si>
  <si>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</si>
  <si>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</si>
  <si>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</si>
  <si>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</si>
  <si>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</si>
  <si>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</si>
  <si>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</si>
  <si>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</si>
  <si>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</si>
  <si>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</si>
  <si>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</si>
  <si>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</si>
  <si>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</si>
  <si>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</si>
  <si>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</si>
  <si>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</si>
  <si>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</si>
  <si>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</si>
  <si>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</si>
  <si>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</si>
  <si>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</si>
  <si>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</si>
  <si>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</si>
  <si>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</si>
  <si>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</si>
  <si>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</si>
  <si>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</si>
  <si>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</si>
  <si>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</si>
  <si>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</si>
  <si>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</si>
  <si>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</si>
  <si>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</si>
  <si>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</si>
  <si>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</si>
  <si>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</si>
  <si>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</si>
  <si>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</si>
  <si>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</si>
  <si>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</si>
  <si>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</si>
  <si>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</si>
  <si>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</si>
  <si>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</si>
  <si>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</si>
  <si>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</si>
  <si>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</si>
  <si>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</si>
  <si>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</si>
  <si>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</si>
  <si>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</si>
  <si>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</si>
  <si>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</si>
  <si>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</si>
  <si>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</si>
  <si>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</si>
  <si>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</si>
  <si>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</si>
  <si>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</si>
  <si>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</si>
  <si>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</si>
  <si>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</si>
  <si>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</si>
  <si>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</si>
  <si>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</si>
  <si>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</si>
  <si>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</si>
  <si>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</si>
  <si>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</si>
  <si>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</si>
  <si>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</si>
  <si>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</si>
  <si>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</si>
  <si>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</si>
  <si>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</si>
  <si>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</si>
  <si>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</si>
  <si>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</si>
  <si>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</si>
  <si>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</si>
  <si>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</si>
  <si>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</si>
  <si>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</si>
  <si>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</si>
  <si>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</si>
  <si>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</si>
  <si>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</si>
  <si>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</si>
  <si>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</si>
  <si>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</si>
  <si>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</si>
  <si>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</si>
  <si>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</si>
  <si>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</si>
  <si>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</si>
  <si>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</si>
  <si>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</si>
  <si>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</si>
  <si>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</si>
  <si>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</si>
  <si>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</si>
  <si>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</si>
  <si>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</si>
  <si>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</si>
  <si>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</si>
  <si>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</si>
  <si>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</si>
  <si>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</si>
  <si>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</si>
  <si>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</si>
  <si>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</si>
  <si>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</si>
  <si>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</si>
  <si>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</si>
  <si>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</si>
  <si>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</si>
  <si>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</si>
  <si>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</si>
  <si>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</si>
  <si>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</si>
  <si>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</si>
  <si>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</si>
  <si>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</si>
  <si>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</si>
  <si>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</si>
  <si>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</si>
  <si>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</si>
  <si>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</si>
  <si>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</si>
  <si>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</si>
  <si>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</si>
  <si>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</si>
  <si>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</si>
  <si>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</si>
  <si>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</si>
  <si>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</si>
  <si>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</si>
  <si>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</si>
  <si>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</si>
  <si>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</si>
  <si>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</si>
  <si>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</si>
  <si>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</si>
  <si>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</si>
  <si>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</si>
  <si>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</si>
  <si>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</si>
  <si>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</si>
  <si>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</si>
  <si>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</si>
  <si>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</si>
  <si>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</si>
  <si>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</si>
  <si>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</si>
  <si>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</si>
  <si>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</si>
  <si>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</si>
  <si>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</si>
  <si>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</si>
  <si>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</si>
  <si>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</si>
  <si>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</si>
  <si>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</si>
  <si>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</si>
  <si>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</si>
  <si>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</si>
  <si>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</si>
  <si>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</si>
  <si>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</si>
  <si>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</si>
  <si>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</si>
  <si>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</si>
  <si>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</si>
  <si>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</si>
  <si>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</si>
  <si>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</si>
  <si>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</si>
  <si>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</si>
  <si>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</si>
  <si>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</si>
  <si>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</si>
  <si>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For Display</t>
  </si>
  <si>
    <t>Qty</t>
  </si>
  <si>
    <t>Avg Days</t>
  </si>
  <si>
    <t xml:space="preserve">Avg  Rating </t>
  </si>
  <si>
    <t>Row Labels</t>
  </si>
  <si>
    <t>Grand Total</t>
  </si>
  <si>
    <t>Column Labels</t>
  </si>
  <si>
    <t>Female</t>
  </si>
  <si>
    <t>Male</t>
  </si>
  <si>
    <t>Other</t>
  </si>
  <si>
    <t>Unknown</t>
  </si>
  <si>
    <t>(blank)</t>
  </si>
  <si>
    <t>For matrix</t>
  </si>
  <si>
    <t>6 TO 10</t>
  </si>
  <si>
    <t>More Than 10</t>
  </si>
  <si>
    <t>Jan</t>
  </si>
  <si>
    <t>Feb</t>
  </si>
  <si>
    <t>Mar</t>
  </si>
  <si>
    <t xml:space="preserve">Count of TX 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</si>
</sst>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00"/>
    <numFmt numFmtId="166" formatCode="[$$-409]#,##0"/>
  </numFmts>
  <fonts count="4" x14ac:knownFonts="1">
    <font>
      <sz val="11"/>
      <color theme="1"/>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5">
    <fill>
      <patternFill patternType="none"/>
    </fill>
    <fill>
      <patternFill patternType="gray125"/>
    </fill>
    <fill>
      <patternFill patternType="solid">
        <fgColor theme="9"/>
        <bgColor indexed="64"/>
      </patternFill>
    </fill>
    <fill>
      <patternFill patternType="solid">
        <fgColor theme="9"/>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style="thick">
        <color theme="0"/>
      </left>
      <right style="thick">
        <color theme="0"/>
      </right>
      <top style="thick">
        <color theme="0"/>
      </top>
      <bottom style="thick">
        <color theme="0"/>
      </bottom>
      <diagonal/>
    </border>
  </borders>
  <cellStyleXfs count="1">
    <xf numFmtId="0" fontId="0" fillId="0" borderId="0"/>
  </cellStyleXfs>
  <cellXfs count="19">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1" fillId="4" borderId="1" xfId="0" applyFont="1" applyFill="1" applyBorder="1"/>
    <xf numFmtId="0" fontId="2" fillId="3" borderId="0" xfId="0" applyFont="1" applyFill="1"/>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0" fontId="3" fillId="0" borderId="0" xfId="0" applyFont="1" applyAlignment="1">
      <alignment horizontal="center" vertical="center"/>
    </xf>
    <xf numFmtId="0" fontId="3" fillId="0" borderId="0" xfId="0" applyFont="1"/>
    <xf numFmtId="164" fontId="1" fillId="0" borderId="2" xfId="0" applyNumberFormat="1" applyFont="1" applyBorder="1" applyAlignment="1">
      <alignment horizontal="center"/>
    </xf>
    <xf numFmtId="0" fontId="1" fillId="0" borderId="1" xfId="0" applyFont="1" applyBorder="1"/>
    <xf numFmtId="0" fontId="2" fillId="3" borderId="0" xfId="0" applyFont="1" applyFill="1" applyAlignment="1">
      <alignment horizontal="center"/>
    </xf>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13">
    <dxf>
      <font>
        <b val="0"/>
        <i val="0"/>
        <strike val="0"/>
        <condense val="0"/>
        <extend val="0"/>
        <outline val="0"/>
        <shadow val="0"/>
        <u val="none"/>
        <vertAlign val="baseline"/>
        <sz val="11"/>
        <color theme="0"/>
        <name val="Aptos Narrow"/>
        <family val="2"/>
        <scheme val="minor"/>
      </font>
      <fill>
        <patternFill patternType="solid">
          <fgColor indexed="65"/>
          <bgColor theme="9"/>
        </patternFill>
      </fill>
    </dxf>
    <dxf>
      <numFmt numFmtId="165" formatCode="&quot;£&quot;#,##0.00"/>
    </dxf>
    <dxf>
      <numFmt numFmtId="166" formatCode="[$$-409]#,##0"/>
    </dxf>
    <dxf>
      <font>
        <b val="0"/>
        <i val="0"/>
        <strike val="0"/>
        <condense val="0"/>
        <extend val="0"/>
        <outline val="0"/>
        <shadow val="0"/>
        <u val="none"/>
        <vertAlign val="baseline"/>
        <sz val="11"/>
        <color theme="0"/>
        <name val="Aptos Narrow"/>
        <family val="2"/>
        <scheme val="minor"/>
      </font>
      <fill>
        <patternFill patternType="solid">
          <fgColor indexed="65"/>
          <bgColor theme="9"/>
        </patternFill>
      </fill>
    </dxf>
    <dxf>
      <numFmt numFmtId="0" formatCode="General"/>
    </dxf>
    <dxf>
      <numFmt numFmtId="0" formatCode="General"/>
    </dxf>
    <dxf>
      <numFmt numFmtId="0" formatCode="General"/>
    </dxf>
    <dxf>
      <numFmt numFmtId="167" formatCode="d\-mmm\-yy"/>
    </dxf>
    <dxf>
      <numFmt numFmtId="167" formatCode="d\-mmm\-yy"/>
    </dxf>
    <dxf>
      <font>
        <b val="0"/>
        <i val="0"/>
        <strike val="0"/>
        <condense val="0"/>
        <extend val="0"/>
        <outline val="0"/>
        <shadow val="0"/>
        <u val="none"/>
        <vertAlign val="baseline"/>
        <sz val="11"/>
        <color theme="0"/>
        <name val="Aptos Narrow"/>
        <family val="2"/>
        <scheme val="minor"/>
      </font>
      <fill>
        <patternFill patternType="solid">
          <fgColor indexed="65"/>
          <bgColor theme="9"/>
        </patternFill>
      </fill>
    </dxf>
    <dxf>
      <numFmt numFmtId="166" formatCode="[$$-409]#,##0"/>
    </dxf>
    <dxf>
      <numFmt numFmtId="165" formatCode="&quot;£&quot;#,##0.00"/>
    </dxf>
    <dxf>
      <font>
        <b val="0"/>
        <i val="0"/>
        <strike val="0"/>
        <condense val="0"/>
        <extend val="0"/>
        <outline val="0"/>
        <shadow val="0"/>
        <u val="none"/>
        <vertAlign val="baseline"/>
        <sz val="11"/>
        <color theme="0"/>
        <name val="Aptos Narrow"/>
        <family val="2"/>
        <scheme val="minor"/>
      </font>
      <fill>
        <patternFill patternType="solid">
          <fgColor indexed="65"/>
          <bgColor theme="9"/>
        </patternFill>
      </fill>
    </dxf>
  </dxfs>
  <tableStyles count="0" defaultTableStyle="TableStyleMedium2" defaultPivotStyle="PivotStyleLight16"/>
  <colors>
    <mruColors>
      <color rgb="FFFF33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[ecommerce-blank.xlsx]Summary Trend!pvtTrend</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Last 13 week Trends - Qty &amp;Amount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B050"/>
            </a:solidFill>
            <a:round/>
          </a:ln>
          <a:effectLst/>
        </c:spPr>
        <c:marker>
          <c:symbol val="circle"/>
          <c:size val="5"/>
          <c:spPr>
            <a:solidFill>
              <a:srgbClr val="FF33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297933126764834E-2"/>
          <c:y val="7.4074187385176918E-2"/>
          <c:w val="0.78456036745406821"/>
          <c:h val="0.84204505686789155"/>
        </c:manualLayout>
      </c:layout>
      <c:lineChart>
        <c:grouping val="standard"/>
        <c:varyColors val="0"/>
        <c:ser>
          <c:idx val="0"/>
          <c:order val="0"/>
          <c:tx>
            <c:strRef>
              <c:f>'Summary Trend'!$B$8</c:f>
              <c:strCache>
                <c:ptCount val="1"/>
                <c:pt idx="0">
                  <c:v>Sum of Quantity</c:v>
                </c:pt>
              </c:strCache>
            </c:strRef>
          </c:tx>
          <c:spPr>
            <a:ln w="28575" cap="rnd">
              <a:solidFill>
                <a:srgbClr val="00B050"/>
              </a:solidFill>
              <a:round/>
            </a:ln>
            <a:effectLst/>
          </c:spPr>
          <c:marker>
            <c:symbol val="circle"/>
            <c:size val="5"/>
            <c:spPr>
              <a:solidFill>
                <a:srgbClr val="FF3300"/>
              </a:solidFill>
              <a:ln w="9525">
                <a:solidFill>
                  <a:schemeClr val="accent1"/>
                </a:solidFill>
              </a:ln>
              <a:effectLst/>
            </c:spPr>
          </c:marker>
          <c:cat>
            <c:strRef>
              <c:f>'Summary Trend'!$A$9:$A$23</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(blank)</c:v>
                </c:pt>
              </c:strCache>
            </c:strRef>
          </c:cat>
          <c:val>
            <c:numRef>
              <c:f>'Summary Trend'!$B$9:$B$23</c:f>
              <c:numCache>
                <c:formatCode>General</c:formatCode>
                <c:ptCount val="14"/>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FEC5-4104-BBF1-C0427DE02988}"/>
            </c:ext>
          </c:extLst>
        </c:ser>
        <c:dLbls>
          <c:showLegendKey val="0"/>
          <c:showVal val="0"/>
          <c:showCatName val="0"/>
          <c:showSerName val="0"/>
          <c:showPercent val="0"/>
          <c:showBubbleSize val="0"/>
        </c:dLbls>
        <c:marker val="1"/>
        <c:smooth val="0"/>
        <c:axId val="1807756847"/>
        <c:axId val="1807755407"/>
      </c:lineChart>
      <c:lineChart>
        <c:grouping val="standard"/>
        <c:varyColors val="0"/>
        <c:ser>
          <c:idx val="1"/>
          <c:order val="1"/>
          <c:tx>
            <c:strRef>
              <c:f>'Summary Trend'!$C$8</c:f>
              <c:strCache>
                <c:ptCount val="1"/>
                <c:pt idx="0">
                  <c:v>Sum of Amount</c:v>
                </c:pt>
              </c:strCache>
            </c:strRef>
          </c:tx>
          <c:spPr>
            <a:ln w="28575" cap="rnd">
              <a:solidFill>
                <a:schemeClr val="accent5"/>
              </a:solidFill>
              <a:round/>
            </a:ln>
            <a:effectLst/>
          </c:spPr>
          <c:marker>
            <c:symbol val="none"/>
          </c:marker>
          <c:cat>
            <c:strRef>
              <c:f>'Summary Trend'!$A$9:$A$23</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(blank)</c:v>
                </c:pt>
              </c:strCache>
            </c:strRef>
          </c:cat>
          <c:val>
            <c:numRef>
              <c:f>'Summary Trend'!$C$9:$C$23</c:f>
              <c:numCache>
                <c:formatCode>[$$-409]#,##0</c:formatCode>
                <c:ptCount val="14"/>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FEC5-4104-BBF1-C0427DE02988}"/>
            </c:ext>
          </c:extLst>
        </c:ser>
        <c:dLbls>
          <c:showLegendKey val="0"/>
          <c:showVal val="0"/>
          <c:showCatName val="0"/>
          <c:showSerName val="0"/>
          <c:showPercent val="0"/>
          <c:showBubbleSize val="0"/>
        </c:dLbls>
        <c:marker val="1"/>
        <c:smooth val="0"/>
        <c:axId val="1938709567"/>
        <c:axId val="1938711487"/>
      </c:lineChart>
      <c:catAx>
        <c:axId val="180775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755407"/>
        <c:crosses val="autoZero"/>
        <c:auto val="1"/>
        <c:lblAlgn val="ctr"/>
        <c:lblOffset val="100"/>
        <c:noMultiLvlLbl val="0"/>
      </c:catAx>
      <c:valAx>
        <c:axId val="1807755407"/>
        <c:scaling>
          <c:orientation val="minMax"/>
        </c:scaling>
        <c:delete val="0"/>
        <c:axPos val="l"/>
        <c:majorGridlines>
          <c:spPr>
            <a:ln w="12700" cap="flat" cmpd="sng" algn="ctr">
              <a:solidFill>
                <a:schemeClr val="bg1">
                  <a:lumMod val="95000"/>
                </a:schemeClr>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756847"/>
        <c:crosses val="autoZero"/>
        <c:crossBetween val="between"/>
      </c:valAx>
      <c:valAx>
        <c:axId val="1938711487"/>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709567"/>
        <c:crosses val="max"/>
        <c:crossBetween val="between"/>
      </c:valAx>
      <c:catAx>
        <c:axId val="1938709567"/>
        <c:scaling>
          <c:orientation val="minMax"/>
        </c:scaling>
        <c:delete val="1"/>
        <c:axPos val="b"/>
        <c:numFmt formatCode="General" sourceLinked="1"/>
        <c:majorTickMark val="out"/>
        <c:minorTickMark val="none"/>
        <c:tickLblPos val="nextTo"/>
        <c:crossAx val="19387114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[ecommerce-blank.xlsx]Order Quantity!pvtOrderQty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97437571241343E-2"/>
          <c:y val="0.16857142857142859"/>
          <c:w val="0.8740849724073172"/>
          <c:h val="0.60115794349235763"/>
        </c:manualLayout>
      </c:layout>
      <c:barChart>
        <c:barDir val="col"/>
        <c:grouping val="clustered"/>
        <c:varyColors val="0"/>
        <c:ser>
          <c:idx val="0"/>
          <c:order val="0"/>
          <c:tx>
            <c:strRef>
              <c:f>'Order Quantity'!$B$3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Quantity'!$A$4:$A$11</c:f>
              <c:strCache>
                <c:ptCount val="7"/>
                <c:pt idx="0">
                  <c:v>1</c:v>
                </c:pt>
                <c:pt idx="1">
                  <c:v>2</c:v>
                </c:pt>
                <c:pt idx="2">
                  <c:v>3</c:v>
                </c:pt>
                <c:pt idx="3">
                  <c:v>4</c:v>
                </c:pt>
                <c:pt idx="4">
                  <c:v>5</c:v>
                </c:pt>
                <c:pt idx="5">
                  <c:v>6 TO 10</c:v>
                </c:pt>
                <c:pt idx="6">
                  <c:v>More Than 10</c:v>
                </c:pt>
              </c:strCache>
            </c:strRef>
          </c:cat>
          <c:val>
            <c:numRef>
              <c:f>'Order Quantity'!$B$4:$B$11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E57E-4F9C-9C46-6E5377AD055C}"/>
            </c:ext>
          </c:extLst>
        </c:ser>
        <c:dLbls>
          <c:dLblPos val="outEnd"/>
          <c:showLegendKey val="0"/>
          <c:showVal val="1"/>
          <c:showCatName val="0"/>
          <c:showSerName val="0"/>
          <c:showPercent val="0"/>
          <c:showBubbleSize val="0"/>
        </c:dLbls>
        <c:gapWidth val="30"/>
        <c:overlap val="-27"/>
        <c:axId val="2126748671"/>
        <c:axId val="1663277055"/>
      </c:barChart>
      <c:catAx>
        <c:axId val="212674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277055"/>
        <c:crosses val="autoZero"/>
        <c:auto val="1"/>
        <c:lblAlgn val="ctr"/>
        <c:lblOffset val="100"/>
        <c:noMultiLvlLbl val="0"/>
      </c:catAx>
      <c:valAx>
        <c:axId val="1663277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74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[ecommerce-blank.xlsx]Product by Qty!pvtProduct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Which products are popular?</a:t>
            </a:r>
            <a:r>
              <a:rPr lang="en-GB" b="1" baseline="0">
                <a:solidFill>
                  <a:schemeClr val="tx1"/>
                </a:solidFill>
              </a:rPr>
              <a:t> </a:t>
            </a:r>
            <a:r>
              <a:rPr lang="en-GB" baseline="0">
                <a:solidFill>
                  <a:schemeClr val="tx1"/>
                </a:solidFill>
              </a:rPr>
              <a:t>Breakdown by Gender</a:t>
            </a:r>
            <a:endParaRPr lang="en-GB">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 by Qty'!$B$3:$B$4</c:f>
              <c:strCache>
                <c:ptCount val="1"/>
                <c:pt idx="0">
                  <c:v>Female</c:v>
                </c:pt>
              </c:strCache>
            </c:strRef>
          </c:tx>
          <c:spPr>
            <a:solidFill>
              <a:schemeClr val="accent1"/>
            </a:solidFill>
            <a:ln>
              <a:noFill/>
            </a:ln>
            <a:effectLst/>
          </c:spPr>
          <c:invertIfNegative val="0"/>
          <c:cat>
            <c:strRef>
              <c:f>'Product by Qty'!$A$5:$A$26</c:f>
              <c:strCache>
                <c:ptCount val="21"/>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pt idx="20">
                  <c:v>(blank)</c:v>
                </c:pt>
              </c:strCache>
            </c:strRef>
          </c:cat>
          <c:val>
            <c:numRef>
              <c:f>'Product by Qty'!$B$5:$B$26</c:f>
              <c:numCache>
                <c:formatCode>General</c:formatCode>
                <c:ptCount val="21"/>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6666-4FF7-AEEC-B49699734405}"/>
            </c:ext>
          </c:extLst>
        </c:ser>
        <c:ser>
          <c:idx val="1"/>
          <c:order val="1"/>
          <c:tx>
            <c:strRef>
              <c:f>'Product by Qty'!$C$3:$C$4</c:f>
              <c:strCache>
                <c:ptCount val="1"/>
                <c:pt idx="0">
                  <c:v>Male</c:v>
                </c:pt>
              </c:strCache>
            </c:strRef>
          </c:tx>
          <c:spPr>
            <a:solidFill>
              <a:schemeClr val="accent2"/>
            </a:solidFill>
            <a:ln>
              <a:noFill/>
            </a:ln>
            <a:effectLst/>
          </c:spPr>
          <c:invertIfNegative val="0"/>
          <c:cat>
            <c:strRef>
              <c:f>'Product by Qty'!$A$5:$A$26</c:f>
              <c:strCache>
                <c:ptCount val="21"/>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pt idx="20">
                  <c:v>(blank)</c:v>
                </c:pt>
              </c:strCache>
            </c:strRef>
          </c:cat>
          <c:val>
            <c:numRef>
              <c:f>'Product by Qty'!$C$5:$C$26</c:f>
              <c:numCache>
                <c:formatCode>General</c:formatCode>
                <c:ptCount val="21"/>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0-D647-4A4D-A804-15A017E0A8A3}"/>
            </c:ext>
          </c:extLst>
        </c:ser>
        <c:ser>
          <c:idx val="2"/>
          <c:order val="2"/>
          <c:tx>
            <c:strRef>
              <c:f>'Product by Qty'!$D$3:$D$4</c:f>
              <c:strCache>
                <c:ptCount val="1"/>
                <c:pt idx="0">
                  <c:v>Other</c:v>
                </c:pt>
              </c:strCache>
            </c:strRef>
          </c:tx>
          <c:spPr>
            <a:solidFill>
              <a:schemeClr val="accent3"/>
            </a:solidFill>
            <a:ln>
              <a:noFill/>
            </a:ln>
            <a:effectLst/>
          </c:spPr>
          <c:invertIfNegative val="0"/>
          <c:cat>
            <c:strRef>
              <c:f>'Product by Qty'!$A$5:$A$26</c:f>
              <c:strCache>
                <c:ptCount val="21"/>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pt idx="20">
                  <c:v>(blank)</c:v>
                </c:pt>
              </c:strCache>
            </c:strRef>
          </c:cat>
          <c:val>
            <c:numRef>
              <c:f>'Product by Qty'!$D$5:$D$26</c:f>
              <c:numCache>
                <c:formatCode>General</c:formatCode>
                <c:ptCount val="21"/>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1-D647-4A4D-A804-15A017E0A8A3}"/>
            </c:ext>
          </c:extLst>
        </c:ser>
        <c:ser>
          <c:idx val="3"/>
          <c:order val="3"/>
          <c:tx>
            <c:strRef>
              <c:f>'Product by Qty'!$E$3:$E$4</c:f>
              <c:strCache>
                <c:ptCount val="1"/>
                <c:pt idx="0">
                  <c:v>Unknown</c:v>
                </c:pt>
              </c:strCache>
            </c:strRef>
          </c:tx>
          <c:spPr>
            <a:solidFill>
              <a:schemeClr val="accent4"/>
            </a:solidFill>
            <a:ln>
              <a:noFill/>
            </a:ln>
            <a:effectLst/>
          </c:spPr>
          <c:invertIfNegative val="0"/>
          <c:cat>
            <c:strRef>
              <c:f>'Product by Qty'!$A$5:$A$26</c:f>
              <c:strCache>
                <c:ptCount val="21"/>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pt idx="20">
                  <c:v>(blank)</c:v>
                </c:pt>
              </c:strCache>
            </c:strRef>
          </c:cat>
          <c:val>
            <c:numRef>
              <c:f>'Product by Qty'!$E$5:$E$26</c:f>
              <c:numCache>
                <c:formatCode>General</c:formatCode>
                <c:ptCount val="21"/>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2-D647-4A4D-A804-15A017E0A8A3}"/>
            </c:ext>
          </c:extLst>
        </c:ser>
        <c:ser>
          <c:idx val="4"/>
          <c:order val="4"/>
          <c:tx>
            <c:strRef>
              <c:f>'Product by Qty'!$F$3:$F$4</c:f>
              <c:strCache>
                <c:ptCount val="1"/>
                <c:pt idx="0">
                  <c:v>(blank)</c:v>
                </c:pt>
              </c:strCache>
            </c:strRef>
          </c:tx>
          <c:spPr>
            <a:solidFill>
              <a:schemeClr val="accent5"/>
            </a:solidFill>
            <a:ln>
              <a:noFill/>
            </a:ln>
            <a:effectLst/>
          </c:spPr>
          <c:invertIfNegative val="0"/>
          <c:cat>
            <c:strRef>
              <c:f>'Product by Qty'!$A$5:$A$26</c:f>
              <c:strCache>
                <c:ptCount val="21"/>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pt idx="20">
                  <c:v>(blank)</c:v>
                </c:pt>
              </c:strCache>
            </c:strRef>
          </c:cat>
          <c:val>
            <c:numRef>
              <c:f>'Product by Qty'!$F$5:$F$26</c:f>
              <c:numCache>
                <c:formatCode>General</c:formatCode>
                <c:ptCount val="21"/>
              </c:numCache>
            </c:numRef>
          </c:val>
          <c:extLst>
            <c:ext xmlns:c16="http://schemas.microsoft.com/office/drawing/2014/chart" uri="{C3380CC4-5D6E-409C-BE32-E72D297353CC}">
              <c16:uniqueId val="{00000003-D647-4A4D-A804-15A017E0A8A3}"/>
            </c:ext>
          </c:extLst>
        </c:ser>
        <c:dLbls>
          <c:showLegendKey val="0"/>
          <c:showVal val="0"/>
          <c:showCatName val="0"/>
          <c:showSerName val="0"/>
          <c:showPercent val="0"/>
          <c:showBubbleSize val="0"/>
        </c:dLbls>
        <c:gapWidth val="20"/>
        <c:overlap val="100"/>
        <c:axId val="1938710527"/>
        <c:axId val="1938708127"/>
      </c:barChart>
      <c:catAx>
        <c:axId val="1938710527"/>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938708127"/>
        <c:crosses val="autoZero"/>
        <c:auto val="1"/>
        <c:lblAlgn val="ctr"/>
        <c:lblOffset val="100"/>
        <c:tickLblSkip val="1"/>
        <c:noMultiLvlLbl val="0"/>
      </c:catAx>
      <c:valAx>
        <c:axId val="1938708127"/>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71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[ecommerce-blank.xlsx]Product by Qty!pvtGender</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25400">
            <a:solidFill>
              <a:schemeClr val="lt1"/>
            </a:solidFill>
          </a:ln>
          <a:effectLst/>
        </c:spPr>
        <c:marker>
          <c:symbol val="none"/>
        </c:marker>
        <c:dLbl>
          <c:idx val="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25400">
            <a:solidFill>
              <a:schemeClr val="lt1"/>
            </a:solidFill>
          </a:ln>
          <a:effectLst/>
        </c:spPr>
        <c:dLbl>
          <c:idx val="0"/>
          <c:layout>
            <c:manualLayout>
              <c:x val="0.14364481225561077"/>
              <c:y val="0.17730496453900693"/>
            </c:manualLayout>
          </c:layout>
          <c:numFmt formatCode="#,##0.00" sourceLinked="0"/>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9351438213080507"/>
                  <c:h val="0.26198581560283685"/>
                </c:manualLayout>
              </c15:layout>
            </c:ext>
          </c:extLst>
        </c:dLbl>
      </c:pivotFmt>
      <c:pivotFmt>
        <c:idx val="8"/>
        <c:spPr>
          <a:solidFill>
            <a:schemeClr val="accent1"/>
          </a:solidFill>
          <a:ln w="25400">
            <a:solidFill>
              <a:schemeClr val="lt1"/>
            </a:solidFill>
          </a:ln>
          <a:effectLst/>
        </c:spPr>
      </c:pivotFmt>
      <c:pivotFmt>
        <c:idx val="9"/>
        <c:spPr>
          <a:solidFill>
            <a:schemeClr val="accent1"/>
          </a:solidFill>
          <a:ln w="25400">
            <a:solidFill>
              <a:schemeClr val="lt1"/>
            </a:solidFill>
          </a:ln>
          <a:effectLst/>
        </c:spPr>
      </c:pivotFmt>
      <c:pivotFmt>
        <c:idx val="10"/>
        <c:spPr>
          <a:solidFill>
            <a:schemeClr val="accent1"/>
          </a:solidFill>
          <a:ln w="25400">
            <a:solidFill>
              <a:schemeClr val="lt1"/>
            </a:solidFill>
          </a:ln>
          <a:effectLst/>
        </c:spPr>
      </c:pivotFmt>
      <c:pivotFmt>
        <c:idx val="11"/>
        <c:spPr>
          <a:solidFill>
            <a:schemeClr val="accent1"/>
          </a:solidFill>
          <a:ln w="2540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5400">
            <a:solidFill>
              <a:schemeClr val="lt1"/>
            </a:solidFill>
          </a:ln>
          <a:effectLst/>
        </c:spPr>
        <c:dLbl>
          <c:idx val="0"/>
          <c:layout>
            <c:manualLayout>
              <c:x val="0.14478440194975628"/>
              <c:y val="0.180851063829787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87867587980073"/>
                  <c:h val="0.20784497682470543"/>
                </c:manualLayout>
              </c15:layout>
            </c:ext>
          </c:extLst>
        </c:dLbl>
      </c:pivotFmt>
      <c:pivotFmt>
        <c:idx val="13"/>
        <c:spPr>
          <a:solidFill>
            <a:schemeClr val="accent1"/>
          </a:solidFill>
          <a:ln w="25400">
            <a:solidFill>
              <a:schemeClr val="lt1"/>
            </a:solidFill>
          </a:ln>
          <a:effectLst/>
        </c:spPr>
        <c:dLbl>
          <c:idx val="0"/>
          <c:layout>
            <c:manualLayout>
              <c:x val="-0.14285714285714285"/>
              <c:y val="0.234042553191489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82923563126037"/>
                  <c:h val="0.17882168984196126"/>
                </c:manualLayout>
              </c15:layout>
            </c:ext>
          </c:extLst>
        </c:dLbl>
      </c:pivotFmt>
      <c:pivotFmt>
        <c:idx val="14"/>
        <c:spPr>
          <a:solidFill>
            <a:schemeClr val="accent1"/>
          </a:solidFill>
          <a:ln w="25400">
            <a:solidFill>
              <a:schemeClr val="lt1"/>
            </a:solidFill>
          </a:ln>
          <a:effectLst/>
        </c:spPr>
        <c:dLbl>
          <c:idx val="0"/>
          <c:layout>
            <c:manualLayout>
              <c:x val="-0.17006802721088435"/>
              <c:y val="-8.51063829787234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540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2540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5400">
            <a:solidFill>
              <a:schemeClr val="lt1"/>
            </a:solidFill>
          </a:ln>
          <a:effectLst/>
        </c:spPr>
        <c:dLbl>
          <c:idx val="0"/>
          <c:layout>
            <c:manualLayout>
              <c:x val="0.14478440194975628"/>
              <c:y val="0.180851063829787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87867587980073"/>
                  <c:h val="0.20784497682470543"/>
                </c:manualLayout>
              </c15:layout>
            </c:ext>
          </c:extLst>
        </c:dLbl>
      </c:pivotFmt>
      <c:pivotFmt>
        <c:idx val="18"/>
        <c:spPr>
          <a:solidFill>
            <a:schemeClr val="accent1"/>
          </a:solidFill>
          <a:ln w="25400">
            <a:solidFill>
              <a:schemeClr val="lt1"/>
            </a:solidFill>
          </a:ln>
          <a:effectLst/>
        </c:spPr>
        <c:dLbl>
          <c:idx val="0"/>
          <c:layout>
            <c:manualLayout>
              <c:x val="-0.14285714285714285"/>
              <c:y val="0.234042553191489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82923563126037"/>
                  <c:h val="0.17882168984196126"/>
                </c:manualLayout>
              </c15:layout>
            </c:ext>
          </c:extLst>
        </c:dLbl>
      </c:pivotFmt>
      <c:pivotFmt>
        <c:idx val="19"/>
        <c:spPr>
          <a:solidFill>
            <a:schemeClr val="accent1"/>
          </a:solidFill>
          <a:ln w="25400">
            <a:solidFill>
              <a:schemeClr val="lt1"/>
            </a:solidFill>
          </a:ln>
          <a:effectLst/>
        </c:spPr>
        <c:dLbl>
          <c:idx val="0"/>
          <c:layout>
            <c:manualLayout>
              <c:x val="-0.17006802721088435"/>
              <c:y val="-8.51063829787234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2540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2540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25400">
            <a:solidFill>
              <a:schemeClr val="lt1"/>
            </a:solidFill>
          </a:ln>
          <a:effectLst/>
        </c:spPr>
        <c:dLbl>
          <c:idx val="0"/>
          <c:layout>
            <c:manualLayout>
              <c:x val="0.14478440194975628"/>
              <c:y val="0.180851063829787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87867587980073"/>
                  <c:h val="0.20784497682470543"/>
                </c:manualLayout>
              </c15:layout>
            </c:ext>
          </c:extLst>
        </c:dLbl>
      </c:pivotFmt>
      <c:pivotFmt>
        <c:idx val="23"/>
        <c:spPr>
          <a:solidFill>
            <a:schemeClr val="accent1"/>
          </a:solidFill>
          <a:ln w="25400">
            <a:solidFill>
              <a:schemeClr val="lt1"/>
            </a:solidFill>
          </a:ln>
          <a:effectLst/>
        </c:spPr>
        <c:dLbl>
          <c:idx val="0"/>
          <c:layout>
            <c:manualLayout>
              <c:x val="-0.14285714285714285"/>
              <c:y val="0.234042553191489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182923563126037"/>
                  <c:h val="0.17882168984196126"/>
                </c:manualLayout>
              </c15:layout>
            </c:ext>
          </c:extLst>
        </c:dLbl>
      </c:pivotFmt>
      <c:pivotFmt>
        <c:idx val="24"/>
        <c:spPr>
          <a:solidFill>
            <a:schemeClr val="accent1"/>
          </a:solidFill>
          <a:ln w="25400">
            <a:solidFill>
              <a:schemeClr val="lt1"/>
            </a:solidFill>
          </a:ln>
          <a:effectLst/>
        </c:spPr>
        <c:dLbl>
          <c:idx val="0"/>
          <c:layout>
            <c:manualLayout>
              <c:x val="-0.17006802721088435"/>
              <c:y val="-8.51063829787234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2540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2540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25400">
            <a:solidFill>
              <a:schemeClr val="lt1"/>
            </a:solidFill>
          </a:ln>
          <a:effectLst/>
        </c:spPr>
        <c:dLbl>
          <c:idx val="0"/>
          <c:layout>
            <c:manualLayout>
              <c:x val="0.14702655255650646"/>
              <c:y val="0.255319148936170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21181223314823"/>
                  <c:h val="0.27349259308688112"/>
                </c:manualLayout>
              </c15:layout>
            </c:ext>
          </c:extLst>
        </c:dLbl>
      </c:pivotFmt>
      <c:pivotFmt>
        <c:idx val="28"/>
        <c:spPr>
          <a:solidFill>
            <a:schemeClr val="accent1"/>
          </a:solidFill>
          <a:ln w="25400">
            <a:solidFill>
              <a:schemeClr val="lt1"/>
            </a:solidFill>
          </a:ln>
          <a:effectLst/>
        </c:spPr>
        <c:dLbl>
          <c:idx val="0"/>
          <c:layout>
            <c:manualLayout>
              <c:x val="-0.12069330043421993"/>
              <c:y val="0.30687664041994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25400">
            <a:solidFill>
              <a:schemeClr val="lt1"/>
            </a:solidFill>
          </a:ln>
          <a:effectLst/>
        </c:spPr>
        <c:dLbl>
          <c:idx val="0"/>
          <c:layout>
            <c:manualLayout>
              <c:x val="-0.27210884353741499"/>
              <c:y val="-8.51063829787234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25400">
            <a:solidFill>
              <a:schemeClr val="lt1"/>
            </a:solidFill>
          </a:ln>
          <a:effectLst/>
        </c:spPr>
        <c:dLbl>
          <c:idx val="0"/>
          <c:layout>
            <c:manualLayout>
              <c:x val="0.38316749864792249"/>
              <c:y val="-3.50203673152467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4637517084557978"/>
                  <c:h val="0.27255601524385725"/>
                </c:manualLayout>
              </c15:layout>
            </c:ext>
          </c:extLst>
        </c:dLbl>
      </c:pivotFmt>
    </c:pivotFmts>
    <c:plotArea>
      <c:layout>
        <c:manualLayout>
          <c:layoutTarget val="inner"/>
          <c:xMode val="edge"/>
          <c:yMode val="edge"/>
          <c:x val="0.13477850982912848"/>
          <c:y val="0.14051376556653822"/>
          <c:w val="0.68962665381113075"/>
          <c:h val="0.71897246886692356"/>
        </c:manualLayout>
      </c:layout>
      <c:doughnutChart>
        <c:varyColors val="1"/>
        <c:ser>
          <c:idx val="0"/>
          <c:order val="0"/>
          <c:tx>
            <c:strRef>
              <c:f>'Product by Qty'!$I$3</c:f>
              <c:strCache>
                <c:ptCount val="1"/>
                <c:pt idx="0">
                  <c:v>Total</c:v>
                </c:pt>
              </c:strCache>
            </c:strRef>
          </c:tx>
          <c:spPr>
            <a:ln w="25400"/>
          </c:spPr>
          <c:dPt>
            <c:idx val="0"/>
            <c:bubble3D val="0"/>
            <c:spPr>
              <a:solidFill>
                <a:schemeClr val="accent1"/>
              </a:solidFill>
              <a:ln w="25400">
                <a:solidFill>
                  <a:schemeClr val="lt1"/>
                </a:solidFill>
              </a:ln>
              <a:effectLst/>
            </c:spPr>
            <c:extLst>
              <c:ext xmlns:c16="http://schemas.microsoft.com/office/drawing/2014/chart" uri="{C3380CC4-5D6E-409C-BE32-E72D297353CC}">
                <c16:uniqueId val="{00000001-15D4-4804-B2D1-C319A77C6746}"/>
              </c:ext>
            </c:extLst>
          </c:dPt>
          <c:dPt>
            <c:idx val="1"/>
            <c:bubble3D val="0"/>
            <c:spPr>
              <a:solidFill>
                <a:schemeClr val="accent2"/>
              </a:solidFill>
              <a:ln w="25400">
                <a:solidFill>
                  <a:schemeClr val="lt1"/>
                </a:solidFill>
              </a:ln>
              <a:effectLst/>
            </c:spPr>
            <c:extLst>
              <c:ext xmlns:c16="http://schemas.microsoft.com/office/drawing/2014/chart" uri="{C3380CC4-5D6E-409C-BE32-E72D297353CC}">
                <c16:uniqueId val="{00000003-15D4-4804-B2D1-C319A77C6746}"/>
              </c:ext>
            </c:extLst>
          </c:dPt>
          <c:dPt>
            <c:idx val="2"/>
            <c:bubble3D val="0"/>
            <c:spPr>
              <a:solidFill>
                <a:schemeClr val="accent3"/>
              </a:solidFill>
              <a:ln w="25400">
                <a:solidFill>
                  <a:schemeClr val="lt1"/>
                </a:solidFill>
              </a:ln>
              <a:effectLst/>
            </c:spPr>
            <c:extLst>
              <c:ext xmlns:c16="http://schemas.microsoft.com/office/drawing/2014/chart" uri="{C3380CC4-5D6E-409C-BE32-E72D297353CC}">
                <c16:uniqueId val="{00000005-15D4-4804-B2D1-C319A77C6746}"/>
              </c:ext>
            </c:extLst>
          </c:dPt>
          <c:dPt>
            <c:idx val="3"/>
            <c:bubble3D val="0"/>
            <c:spPr>
              <a:solidFill>
                <a:schemeClr val="accent4"/>
              </a:solidFill>
              <a:ln w="25400">
                <a:solidFill>
                  <a:schemeClr val="lt1"/>
                </a:solidFill>
              </a:ln>
              <a:effectLst/>
            </c:spPr>
            <c:extLst>
              <c:ext xmlns:c16="http://schemas.microsoft.com/office/drawing/2014/chart" uri="{C3380CC4-5D6E-409C-BE32-E72D297353CC}">
                <c16:uniqueId val="{00000007-15D4-4804-B2D1-C319A77C6746}"/>
              </c:ext>
            </c:extLst>
          </c:dPt>
          <c:dLbls>
            <c:dLbl>
              <c:idx val="0"/>
              <c:layout>
                <c:manualLayout>
                  <c:x val="0.14702655255650646"/>
                  <c:y val="0.255319148936170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21181223314823"/>
                      <c:h val="0.27349259308688112"/>
                    </c:manualLayout>
                  </c15:layout>
                </c:ext>
                <c:ext xmlns:c16="http://schemas.microsoft.com/office/drawing/2014/chart" uri="{C3380CC4-5D6E-409C-BE32-E72D297353CC}">
                  <c16:uniqueId val="{00000001-15D4-4804-B2D1-C319A77C6746}"/>
                </c:ext>
              </c:extLst>
            </c:dLbl>
            <c:dLbl>
              <c:idx val="1"/>
              <c:layout>
                <c:manualLayout>
                  <c:x val="-0.12069330043421993"/>
                  <c:y val="0.3068766404199475"/>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5D4-4804-B2D1-C319A77C6746}"/>
                </c:ext>
              </c:extLst>
            </c:dLbl>
            <c:dLbl>
              <c:idx val="2"/>
              <c:layout>
                <c:manualLayout>
                  <c:x val="-0.27210884353741499"/>
                  <c:y val="-8.5106382978723402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15D4-4804-B2D1-C319A77C6746}"/>
                </c:ext>
              </c:extLst>
            </c:dLbl>
            <c:dLbl>
              <c:idx val="3"/>
              <c:layout>
                <c:manualLayout>
                  <c:x val="0.38316749864792249"/>
                  <c:y val="-3.50203673152467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4637517084557978"/>
                      <c:h val="0.27255601524385725"/>
                    </c:manualLayout>
                  </c15:layout>
                </c:ext>
                <c:ext xmlns:c16="http://schemas.microsoft.com/office/drawing/2014/chart" uri="{C3380CC4-5D6E-409C-BE32-E72D297353CC}">
                  <c16:uniqueId val="{00000007-15D4-4804-B2D1-C319A77C674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 by Qty'!$H$4:$H$8</c:f>
              <c:strCache>
                <c:ptCount val="4"/>
                <c:pt idx="0">
                  <c:v>Female</c:v>
                </c:pt>
                <c:pt idx="1">
                  <c:v>Male</c:v>
                </c:pt>
                <c:pt idx="2">
                  <c:v>Other</c:v>
                </c:pt>
                <c:pt idx="3">
                  <c:v>Unknown</c:v>
                </c:pt>
              </c:strCache>
            </c:strRef>
          </c:cat>
          <c:val>
            <c:numRef>
              <c:f>'Product by Qty'!$I$4:$I$8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15D4-4804-B2D1-C319A77C6746}"/>
            </c:ext>
          </c:extLst>
        </c:ser>
        <c:dLbls>
          <c:showLegendKey val="0"/>
          <c:showVal val="0"/>
          <c:showCatName val="0"/>
          <c:showSerName val="0"/>
          <c:showPercent val="0"/>
          <c:showBubbleSize val="0"/>
          <c:showLeaderLines val="0"/>
        </c:dLbls>
        <c:firstSliceAng val="14"/>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[ecommerce-blank.xlsx]Shipment Duration!pvtDuration</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How long we take to ship?</a:t>
            </a:r>
          </a:p>
        </c:rich>
      </c:tx>
      <c:layout>
        <c:manualLayout>
          <c:xMode val="edge"/>
          <c:yMode val="edge"/>
          <c:x val="0.32313164786358817"/>
          <c:y val="3.908044461149246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'Shipment Duration'!$B$3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'Shipment Duration'!$A$4:$A$19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'Shipment Duration'!$B$4:$B$19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EB13-43EF-9997-A0202EB1A567}"/>
            </c:ext>
          </c:extLst>
        </c:ser>
        <c:dLbls>
          <c:dLblPos val="outEnd"/>
          <c:showLegendKey val="0"/>
          <c:showVal val="1"/>
          <c:showCatName val="0"/>
          <c:showSerName val="0"/>
          <c:showPercent val="0"/>
          <c:showBubbleSize val="0"/>
        </c:dLbls>
        <c:gapWidth val="25"/>
        <c:overlap val="-25"/>
        <c:axId val="2120967343"/>
        <c:axId val="2120969263"/>
      </c:barChart>
      <c:catAx>
        <c:axId val="2120967343"/>
        <c:scaling>
          <c:orientation val="minMax"/>
        </c:scaling>
        <c:delete val="1"/>
        <c:axPos val="b"/>
        <c:numFmt formatCode="General" sourceLinked="1"/>
        <c:majorTickMark val="none"/>
        <c:minorTickMark val="none"/>
        <c:tickLblPos val="nextTo"/>
        <c:crossAx val="2120969263"/>
        <c:crosses val="autoZero"/>
        <c:auto val="1"/>
        <c:lblAlgn val="ctr"/>
        <c:lblOffset val="100"/>
        <c:noMultiLvlLbl val="0"/>
      </c:catAx>
      <c:valAx>
        <c:axId val="212096926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2096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[ecommerce-blank.xlsx]Customer Satisfaction!pvtRating</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How satisfied are our</a:t>
            </a:r>
            <a:r>
              <a:rPr lang="en-GB" b="1" baseline="0">
                <a:solidFill>
                  <a:schemeClr val="tx1"/>
                </a:solidFill>
              </a:rPr>
              <a:t> customers?</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56207634299794"/>
          <c:y val="9.6491943725826132E-2"/>
          <c:w val="0.83475240594925637"/>
          <c:h val="0.78853091280256637"/>
        </c:manualLayout>
      </c:layout>
      <c:barChart>
        <c:barDir val="col"/>
        <c:grouping val="clustered"/>
        <c:varyColors val="0"/>
        <c:ser>
          <c:idx val="0"/>
          <c:order val="0"/>
          <c:tx>
            <c:strRef>
              <c:f>'Customer Satisfaction'!$B$3:$B$4</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Satisfaction'!$A$5:$A$8</c:f>
              <c:strCache>
                <c:ptCount val="3"/>
                <c:pt idx="0">
                  <c:v>Jan</c:v>
                </c:pt>
                <c:pt idx="1">
                  <c:v>Feb</c:v>
                </c:pt>
                <c:pt idx="2">
                  <c:v>Mar</c:v>
                </c:pt>
              </c:strCache>
            </c:strRef>
          </c:cat>
          <c:val>
            <c:numRef>
              <c:f>'Customer Satisfaction'!$B$5:$B$8</c:f>
              <c:numCache>
                <c:formatCode>General</c:formatCode>
                <c:ptCount val="3"/>
                <c:pt idx="0">
                  <c:v>7</c:v>
                </c:pt>
                <c:pt idx="1">
                  <c:v>8</c:v>
                </c:pt>
                <c:pt idx="2">
                  <c:v>6</c:v>
                </c:pt>
              </c:numCache>
            </c:numRef>
          </c:val>
          <c:extLst>
            <c:ext xmlns:c16="http://schemas.microsoft.com/office/drawing/2014/chart" uri="{C3380CC4-5D6E-409C-BE32-E72D297353CC}">
              <c16:uniqueId val="{00000000-0628-4419-AFDC-C3E8D014482F}"/>
            </c:ext>
          </c:extLst>
        </c:ser>
        <c:ser>
          <c:idx val="1"/>
          <c:order val="1"/>
          <c:tx>
            <c:strRef>
              <c:f>'Customer Satisfaction'!$C$3:$C$4</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Satisfaction'!$A$5:$A$8</c:f>
              <c:strCache>
                <c:ptCount val="3"/>
                <c:pt idx="0">
                  <c:v>Jan</c:v>
                </c:pt>
                <c:pt idx="1">
                  <c:v>Feb</c:v>
                </c:pt>
                <c:pt idx="2">
                  <c:v>Mar</c:v>
                </c:pt>
              </c:strCache>
            </c:strRef>
          </c:cat>
          <c:val>
            <c:numRef>
              <c:f>'Customer Satisfaction'!$C$5:$C$8</c:f>
              <c:numCache>
                <c:formatCode>General</c:formatCode>
                <c:ptCount val="3"/>
                <c:pt idx="0">
                  <c:v>37</c:v>
                </c:pt>
                <c:pt idx="1">
                  <c:v>51</c:v>
                </c:pt>
                <c:pt idx="2">
                  <c:v>39</c:v>
                </c:pt>
              </c:numCache>
            </c:numRef>
          </c:val>
          <c:extLst>
            <c:ext xmlns:c16="http://schemas.microsoft.com/office/drawing/2014/chart" uri="{C3380CC4-5D6E-409C-BE32-E72D297353CC}">
              <c16:uniqueId val="{00000001-0628-4419-AFDC-C3E8D014482F}"/>
            </c:ext>
          </c:extLst>
        </c:ser>
        <c:ser>
          <c:idx val="2"/>
          <c:order val="2"/>
          <c:tx>
            <c:strRef>
              <c:f>'Customer Satisfaction'!$D$3:$D$4</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Satisfaction'!$A$5:$A$8</c:f>
              <c:strCache>
                <c:ptCount val="3"/>
                <c:pt idx="0">
                  <c:v>Jan</c:v>
                </c:pt>
                <c:pt idx="1">
                  <c:v>Feb</c:v>
                </c:pt>
                <c:pt idx="2">
                  <c:v>Mar</c:v>
                </c:pt>
              </c:strCache>
            </c:strRef>
          </c:cat>
          <c:val>
            <c:numRef>
              <c:f>'Customer Satisfaction'!$D$5:$D$8</c:f>
              <c:numCache>
                <c:formatCode>General</c:formatCode>
                <c:ptCount val="3"/>
                <c:pt idx="0">
                  <c:v>150</c:v>
                </c:pt>
                <c:pt idx="1">
                  <c:v>182</c:v>
                </c:pt>
                <c:pt idx="2">
                  <c:v>163</c:v>
                </c:pt>
              </c:numCache>
            </c:numRef>
          </c:val>
          <c:extLst>
            <c:ext xmlns:c16="http://schemas.microsoft.com/office/drawing/2014/chart" uri="{C3380CC4-5D6E-409C-BE32-E72D297353CC}">
              <c16:uniqueId val="{00000002-0628-4419-AFDC-C3E8D014482F}"/>
            </c:ext>
          </c:extLst>
        </c:ser>
        <c:ser>
          <c:idx val="3"/>
          <c:order val="3"/>
          <c:tx>
            <c:strRef>
              <c:f>'Customer Satisfaction'!$E$3:$E$4</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Satisfaction'!$A$5:$A$8</c:f>
              <c:strCache>
                <c:ptCount val="3"/>
                <c:pt idx="0">
                  <c:v>Jan</c:v>
                </c:pt>
                <c:pt idx="1">
                  <c:v>Feb</c:v>
                </c:pt>
                <c:pt idx="2">
                  <c:v>Mar</c:v>
                </c:pt>
              </c:strCache>
            </c:strRef>
          </c:cat>
          <c:val>
            <c:numRef>
              <c:f>'Customer Satisfaction'!$E$5:$E$8</c:f>
              <c:numCache>
                <c:formatCode>General</c:formatCode>
                <c:ptCount val="3"/>
                <c:pt idx="0">
                  <c:v>312</c:v>
                </c:pt>
                <c:pt idx="1">
                  <c:v>373</c:v>
                </c:pt>
                <c:pt idx="2">
                  <c:v>351</c:v>
                </c:pt>
              </c:numCache>
            </c:numRef>
          </c:val>
          <c:extLst>
            <c:ext xmlns:c16="http://schemas.microsoft.com/office/drawing/2014/chart" uri="{C3380CC4-5D6E-409C-BE32-E72D297353CC}">
              <c16:uniqueId val="{00000006-0628-4419-AFDC-C3E8D014482F}"/>
            </c:ext>
          </c:extLst>
        </c:ser>
        <c:ser>
          <c:idx val="4"/>
          <c:order val="4"/>
          <c:tx>
            <c:strRef>
              <c:f>'Customer Satisfaction'!$F$3:$F$4</c:f>
              <c:strCache>
                <c:ptCount val="1"/>
                <c:pt idx="0">
                  <c:v>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Satisfaction'!$A$5:$A$8</c:f>
              <c:strCache>
                <c:ptCount val="3"/>
                <c:pt idx="0">
                  <c:v>Jan</c:v>
                </c:pt>
                <c:pt idx="1">
                  <c:v>Feb</c:v>
                </c:pt>
                <c:pt idx="2">
                  <c:v>Mar</c:v>
                </c:pt>
              </c:strCache>
            </c:strRef>
          </c:cat>
          <c:val>
            <c:numRef>
              <c:f>'Customer Satisfaction'!$F$5:$F$8</c:f>
              <c:numCache>
                <c:formatCode>General</c:formatCode>
                <c:ptCount val="3"/>
                <c:pt idx="0">
                  <c:v>224</c:v>
                </c:pt>
                <c:pt idx="1">
                  <c:v>247</c:v>
                </c:pt>
                <c:pt idx="2">
                  <c:v>250</c:v>
                </c:pt>
              </c:numCache>
            </c:numRef>
          </c:val>
          <c:extLst>
            <c:ext xmlns:c16="http://schemas.microsoft.com/office/drawing/2014/chart" uri="{C3380CC4-5D6E-409C-BE32-E72D297353CC}">
              <c16:uniqueId val="{00000007-0628-4419-AFDC-C3E8D014482F}"/>
            </c:ext>
          </c:extLst>
        </c:ser>
        <c:dLbls>
          <c:dLblPos val="outEnd"/>
          <c:showLegendKey val="0"/>
          <c:showVal val="1"/>
          <c:showCatName val="0"/>
          <c:showSerName val="0"/>
          <c:showPercent val="0"/>
          <c:showBubbleSize val="0"/>
        </c:dLbls>
        <c:gapWidth val="219"/>
        <c:overlap val="-27"/>
        <c:axId val="1938294863"/>
        <c:axId val="1938295343"/>
      </c:barChart>
      <c:catAx>
        <c:axId val="193829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295343"/>
        <c:crosses val="autoZero"/>
        <c:auto val="1"/>
        <c:lblAlgn val="ctr"/>
        <c:lblOffset val="100"/>
        <c:noMultiLvlLbl val="0"/>
      </c:catAx>
      <c:valAx>
        <c:axId val="1938295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29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 ?</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Where do our customers live ?</a:t>
          </a:r>
        </a:p>
      </cx:txPr>
    </cx:title>
    <cx:plotArea>
      <cx:plotAreaRegion>
        <cx:series layoutId="regionMap" uniqueId="{90BB204E-F623-4FB5-83FC-2A8C06019697}">
          <cx:tx>
            <cx:txData>
              <cx:f>_xlchart.v5.6</cx:f>
              <cx:v>Sum of Quantity</cx:v>
            </cx:txData>
          </cx:tx>
          <cx:spPr>
            <a:solidFill>
              <a:schemeClr val="tx1"/>
            </a:solidFill>
            <a:ln>
              <a:solidFill>
                <a:schemeClr val="tx1"/>
              </a:solidFill>
            </a:ln>
          </cx:spPr>
          <cx:dataLabels>
            <cx:visibility seriesName="0" categoryName="0" value="1"/>
            <cx:separator>, </cx:separator>
          </cx:dataLabels>
          <cx:dataId val="0"/>
          <cx:layoutPr>
            <cx:geography cultureLanguage="en-US" cultureRegion="GB" attribution="Powered by Bing">
              <cx:geoCache provider="{E9337A44-BEBE-4D9F-B70C-5C5E7DAFC167}">
                <cx:binary>3H1bc9s4Eu5fSeX50EMCIAFs7WzVkJRk+SI7dpzbC0uxFQK8k+D915+m7WQsSs7SVaM6Z6VszVYi
NdTih270Hf++b/91H23Wxbs2jhL1r/v2z/eiLLN//fGHuhebeK1OYnlfpCr9UZ7cp/Ef6Y8f8n7z
x0OxbmTi/4F0g/xxL9ZFuWnf/+ffsJq/SS/S+3Up0+RDtSm6m42qolL95r29b71bP8QycaUqC3lf
Gn++d9aR/JEWiVy/334P/fn+0yYpq2L9zkmrpOzev4O/yrL72GWbP99vrYPev/tj/HU7rL2LgPuy
egBiTE4Q0xnWMeWPL/b+XZQm/vPbmmHwE8SxoVs6vPP0tat1DJRvYOmRofXDQ7FRCn7a4//vLrD1
O+Bx/PXfH8P98DgGBHwA48/3d4ksNw/vbst1uVHv30mVPj6vonPS4bfe3T4+nD+2MfzPv0f/AI9r
9C8vYB4/2//21jaS/wVl2AHrelOs1QFwZicGt5CBKNUfX7BRtnBG+onFdI4wsbZxfhNT+5HeXWIC
1rtER4b2XxHI0cMhZJqeMJ0wxCz8JNN0jDU6QRQRasEmeCnSb+BoP9DjBSbAPCY5OpAzmWwOIs8W
x6ZlmORVvU3hZZqUjEGeytFrGG/RT4J4i+LIEHbSqFKHkGI4eAd9DBC/orHRiQ4nt8WJuY3wdI72
Izyin4DwiOLIEL5cFzI5gAjTE06JSU39WU2PTS+ETkxsMIvykek1maH9+G6TT4B3m+DI0P0rXj+k
xQHgZScYjlgdMVDAY1OLUgRWtc4fJdvYFt/pDO2Hd0Q/Ad8RxZEBbFdleYgTmJ+YBpjL+msnMDJO
TJNYhoFGAE9maD++2+QT4N0mODJ03U30bpWCd/7PSzAxTqhJQFQN9oodDc6zTjDY0SND+k1M7Ud5
d4kJSO8SHRnat3JTHCQMAsJs6Rh8JvJkbOFdnQ1v6sxiT9bYSKSn87Uf7RH9BKhHFEeGs5NCXGcw
qlV5CNOaneiDTOPXgl5geRmYMJMaI8vrrXztR3vvKhMw30t3ZMjPonduWoBJ9s/rc8xOKOKWiZ7t
bc53hRyioAYAb+0zzN7E2n7kd5eYAPsu0ZFhPofAcHIIwK0Tig3LNCGK/fQaAQ7BbcpM+GOMXOjp
HO3HeUQ/AeQRxZEhvIg2ySFcaDi2kW4aHEHQetvHAg3OmUGxOTLNJnOyH9ht8gm4bhMcGayrdXaY
4xlxiE+D4/SKMQbxa8bB82IjcKfysx/bLeoJ0G59/siQPa3i72n0UP7zpzDRQedaBiG7MktODMvA
OhjaP7X1y+zEW1jaD/DOChNA3qE5MqBv1wmY2Pa6+L4+iGNFTggCt4ny149gizNMDAhkP762g2Fv
Zm8/8vuXmQD/fsIj2wPLONsUch3988KO0QnliJkEKggeX2O/2jDB8TbBQoNI6fAa+dVv4Ww/8jsr
TAB9h+bI8L7cJA/pvTyIyc1PjCEjSekz4ADotmGGIWZGLYw5ZKVfqvc3MbUf690lJoC9S3RkaC+T
7jC+FdMRWN/0OQE9dqaNoeKEWxZjoxjKVH72Y7xFPQHerc8fGbLXUQX1awfQ2vyEY4tCoOT50N4p
INFPOGHchAqEbSGeztF+dEf0E/AdURwZwueb4hBus3mC6WPm6unQHU7dLSUNcZEhQGpgNFLSU/nZ
j+4W9QRstz5/bMhCcekhRNc6AdDAeSbmkzm9o5b5iQXvgW89hnYqQ69gu0U+BdwtgiND92IdHiAh
iUEswZKmOpQOPL4g/LElt5C34IZpWIyOijin8rMf2y3qCdBuff7IkL2VKpRdWv3zp+6QbsYGxLR+
lm2ORRfQtaDkz9Qt8KJems5v4Wk/wjsrTEB5h+bIkL5YK7U5wOkLATACZZuMoych1sc+8VCKDW8T
iJps4zydo/0oj+gnYDyiODaEU/Xur8TfRJtDnMTkRDcRwuznSTwu7wMHCREMNWKg0IfXKPRx8Tbm
XkF8zyJTYN9DdmTYX64foNPin9fi2DqBPgtIO0Fd509Yt89o/QQUOGHEAP3+UotP52g/1iP6CTCP
KI4MYQjdvruETqBDBD/oCQBIKfi/T1b2joMMGSrEIBJGRlL9Jqb247y7xASod4mODO2hRjlLD1KI
/wg2yDN7PrD3eMvcIpQhMMwfX2O5ns7ZfsR3ftsEwHdo/gfw/j2LWz966KT76+dz3tMH+dY2SHqC
oFbXgizVfq0NERHLoIgaoLb3YAzNar96N590+j6e9qP7knbrNz79xN8/lP+5HsfLTXEPPZrOP97I
Sk+wbnELKjSfABqbW2BVE2ZwsLaeSjxHink6X/tRHNHvAXLrn6Cnd0RxbDinkGL652EGJ5lwHSLP
xnO6eKfwRz8xCcgyBC9/qoenfuXLqQy9gu8W+RaW+3uVt7/v6NA9SPIQPCJoWPwlwkOKcMt2HprR
EWMcDtoxuNP4eQ3bF9SToH3x+eNDttwUm+6fF13wjCxqUYr15xb0nbiHcWKZFrHwuC/5EqrBp/L0
KsLbK0xDeZvmyJC+HfqiDtH4BiUAGCGYNfBsKu2cxIAzMqECjI+i1NM52o/yiH4CxiOKI0N4tanX
BxkwAGrYQhSmhjzHOPZIsm5AX/IOwtM52o/wiH4CwiOKI0P4qlhD/PIAuhpD3RY0QjDrtfECMGPC
hAZWaxy2nM7RfoRH9BMQHlEcGcLX0fr+IFqanYAdNWD87PHuk2E61O2hJ39qZHFN52s/ziP6CTiP
KI4M59s0Wr+wKl8NIkDK920DngabGlAe7K798WgYI0E4tDWOB/9M52g/wiP6CQiPKI4NYYhH21DP
sy4eDlN6CeXzMA/EYPgZ6bFEGxDkgq4JkPpt52mIDb+NsVcA37/OFOD3Ux7ZBriRMNxLyYfDnNec
6SbGzwVduxVdEB6D0V9Q9TMC/01M7cd9d4kJkO8SHRnat2mSxodIMLITgrkFDVKvudFQc2+AHw0Z
qpGcT+ZoP86jXzQB5BHFsSG8vi9ghFtSHiLDyE5MChO+CMzke3yNQ2EwXQSyi/AH6jiH1yicffsm
3l7Be3eNKZjvUh0b7mJ9kLEEUBgE09oszPBrMxrRCWZwxkOJ2EiyJ3P0CtLb9FNQ3qY4NoQf7RGY
JnoIybbAcwaTHGpEfjlWW0HuQbJ1pEOL5BjlN3H1CtK7a0xBe5fqyBD/uBHrQ5zWINPQ2mZBJdhz
MBTMr220oVIEuh9hTtRTdcFIj0/naz/eI/oJWI8ojgznwddx5cY/hGA/2l3UhH7HEcbgeBmg1sEz
exb5kfZ+C0/7Yd79WROQ3iU6QrDnECG9l+o+/fnM9xRmvDmmQqGFXdcptLa9osLR0PUMtdx45G0N
j/wXR1PCtq/DvbvMRMh3CY8Q9rN0nVeHmtoJMzsJAoAfX+MoCxzfiEP/Def7J4XBDngDc6/jP15k
IvpjsuPDfpgYVlT9FOl6YygVSnspHNX6z9qTsZ6HBg0Y9wmaYSex+ThkYSpXr2I+/mXTIB9THR/i
7y4qqd5dfZcqO8S5bsK0GWRBPhOQHV5gom2bcNCvAXE3GPS5R9u/kbVXsd/7G6dtgL2kx7cLhn0e
HWaICQRPoU8Duu5eqy00TsAWMCDhPeqHhvP+LWy9iv7OItOQ3yE7NtTLdSJVtK4O0b9DoQtLhwFi
1mvNlgbMXx86eCicAy8bOeD+kTdw9Qrmu2tMgXyX6sgQ/wij2OHmm3/+cB/GUkHnNJh2z4WlOwFX
6K2FkWMwp2jsok9naT/W4980AegxybGhXIEiP0SaDLrjsT5EWl4v80d8UOUmmPUvZfrjZI5ewXib
fgrE2xRHhzBcmxEf5GYUuFaBQZ4bPLBXzTUY9GwYDO1gPJ2n11AerTAJ5xHNkSH9NY0OYZQzKCaG
0UOgkcfWOLTRU2iqhVGC2yI8lZH90G5RT4B16/PHBmn1/RCJ7WF0mAGj4KC8//G1M90CLlSAyRYM
UmQjZCfy8wqyL6mnIPvy8/8vkH39drpfN/2563I9e7wj8MUFdb9/9/HhwN2GI9LnU3B/1PTphFw+
/Pkepr1huMgGjKZf1WnDQltn6BD8fA4//cRvm3QDedU/32twPsMYExggZ1kwjx8qVmDVZvP81rAH
LJOCYQ6xGGvoA0ng9gcBNxnCfSvABII6N6hZNDEH8Vdp9fjW0MFpPC8Gw1HMXxc5XqdR56fJryfz
/Pd3SRVfpzIpFaxLYbdlT58b2DVh7OxQ3GzBIA4CLWfQTgbv369vhnk28CD+D4SG47YlXXHVabVl
ZDaqjFzYScKCpVWJ5EoS61IKKlaWWSy83jI/5F3I7d7Xb7BHbsKi2qR6ltttK5ZBXZ8LasxrXF2E
CDla3Z9FiXHBEsPtES2dmrTfuwxf6FEX2biKV4iwuefTCyW0edppH6xA3NEu+Wy2pcO8fMMIswuD
2VGXLMMqdYWm+bYl8NJk4lPRNY5G9A9dGK2qTro111ctrUubW+2FxfqFWRhOI/07M5e2Br9oFhXN
dy7LS4+H87LA37AfLeqyPEs8a15ifl6TfOUJseJpO+c9cXyRrSoU2DjNL4sWfYYbkE6FYax419la
mF4FRrBKNWNWV9zNVe8Kvf7KpboWorr0m86pU7YgTTXDkbUqUDYL+Q9VcDSLg6ZyRFWd9ZytvYba
0iKfg6Beaoq7taluhN8vtCBw46y3ray47VSnbK+VV75JT0PauEZg3ZkqPu07dROz8nuC2pXGkpXw
8ovaik/NvjqLi+60ypVN/ewHDbIVpHFnvceX2Cc3VNDMZlp2WtIksUnUXIYV1Wyjy89zL1zjlNzw
zHKE9Do7quhVpZUXPord3q+XRZ84imo3AW+Xhu59InF353M8sxJp2LmQMy9siS08PXdonF9KFjVz
q8nbD1FXeW4qrTWtebHI8nbBMrNy/Db7jFAm7Lhpvyfg0vh2Ufh6PlMdb/qZp1gRnAY8EcsyLYrg
ivR9K+2AWAle1HAF6ZwbDaDfqqWppfoizavI1lh2E6ZldpZYRe2oPJS2ERn4sjX72q07I7CjVqY2
T3zkergPbqADZBEiXdlm6Z8GiaFc6L9kM/hJvZOgvneMpKJ2kNF8VjI9cCrakFOvTkxXWd2tJF3u
lly0toetcN5XZeakWY7sxld3rCj1WWhVnR1E6INkXeb2wY/G9ITNNfRRQ959yrDLOnLVI3NOinCV
q7Bxw6Z2SORtZE8uWVB+1hqguyyqsp7BZysnz6rQxpY/k3H6AaXxp6YqpZvVqrQ9uGzP6QUJ3SAj
332/TGy9SDo7U3nlKsJXsqh9m7bBA9eq1q5JFTt1LXI3RGzjZ/xb0qE707Q2wL+wy1RXTtfhyMVZ
59sixplrJoGws9CTdp0Zp1lUuJjJq1rEZyxuPpG2+1FR/Szg7IykQs5brZpJX3ySPZrxOMpXndfk
87iOBGgczbpMI+82yYRv+zxUMyRq7FYEB3ZjJF+aoIennMcPWspSW2+bwqXCT+ZB2C49LVoEOpcO
7+uvfSpyOyrbK6nT76Juv7ekLuyijWHfUusUW7UJlNGpzwrNRjmasyzqnRyjhZeiL2UuqQ1qysmV
uZR+pezKkl86H8PiGrmXXh67Fg9sXpXftapwFbI6p/V0N0+8z9jPa6fjChaodIeEvoMrDTmkLCq7
L7KPosGxqwddN2stwL31vC840ivbyzwK+wvP81DLbc4bEFEZwh2wKYhl0TAF7OEfsY7aRe353K7M
wpahbOwmzpdS9hbwVp9lTF21sSzsrq9sFuNlI/SVKOtPia6flQ3r7Ujj3JZaF9iV3l6EQr9t/PLc
TMRHo6O6XQeWmxRBbTPSYNdqtQtZMcNOuvCuEMS0ZZxRN6JZVN0KESbzolG+cLTUI3adl7qjBbVY
klLORVQTO9GZttD7rra7JJN2ouJ03lboTIXdhyxWiU2NNvog01o6Ly+53Trf7tOsK2DHPN9V/Ouv
//mYxvC/x1tv//7H4arjv/+22KRDG60af2iwRX596u+bc4ez/9c1uiOL4um+5FfMjd+++bot8tKe
MCHJ/jsz5GW//d8GzBPVTwvEgFrqYXKPDlc7mXBBBCz4ywKBidZD3xMEBxnMCxgGfDxbIATSP8bQ
vaoPQwLg1iiIC/60QBBc5QcLgm3AoLwLRiu+xQQx4Du2LRAO5SIw5s0CYwdDKhJ8oJcWSNlj0JRV
1a6SBvNZ3Xgis1Mc0NCBg67+YGlmdxa0dRLOdD0sv5Ypqe9CotrcVjzJP794ensMomFw4JgbqCqH
qYNgCsG1s4Pf9ZIbknRZyEVVr1CeGCs/7BPPrmhqCaety5TbdUOqr7TONGkXcPDmTh4UoW97vaLE
gSaV5IGXpX4Fa4jKRVFk3PWmxoxFZ5nexug0o53/nmMEhbA7HEMvKozg4mBKwlyPEceSCsC2K1e4
NX0fhLeP7mpoksDzknapadddawSupB6zQQt20u5CHS/iuugMt6jT8kG0ShmO1DLQsnBReG2XMRgy
Ni3M0J/5aSCuw4qfxYoL5YK3wz8pkZ+HUWO2M6lAd8tC1PHi979qFwZo19Fh3DbcRwblJo8/+qVZ
2ml+o2WRWiWlxz+lPjOQTUIEWyNLqva6aQt+m3lG9OX3XzvstZfWMAxUgGuSwBxHsBfhPwNbL77W
1FufZMpPVgnrjZURimqVqMKRzBOffv9NID4738ShMo7CZDRwEtlon2UJ6fq8EOmKZTpZ501aRAuv
ZB2yw0zMdLBhegfrHUudAJtN/N82zbAptn8obBSYeEzgimy4pmD89dBgI+EIjeWK5qG5joPKXIfR
wIPZx2pmFWlqdzpAv2iivEF2HqZ0U0ZcLRvekYvWwoXu4CZIQyegSXyHiwxhV7Cu22Ranbm61sfU
MXlKilMTW3Aq/f7pDVfajPmng9qAQftw9zPETraB0q3KTEzT0y6NyovXsiiVbxtaWCbExl2X+GeN
kOF3n/Hsou1zMbdS0koHGTX9UdK+T51O+NQhaVBvZIHpQ21mgp79nkli7oCMCYZNNAThYXyS+eh8
vdhOVsGkXogSXwYkzzzOBhOxX7Rli/m8rKvKKdpc/1DHnVnZQgjqFEayUKjIFhHJkBNGeXyTRWbc
2jRq/M9NEKfLTpWlnZl5dmepkLkeWB9OlQaBtGWJg8b2ApWsmkxTV7nW45nvG2CzaL2XxA4C8+zU
tMroBgX+td8luB2M+3xVevnHEsUaHP01ggcpOwS6gVR9b+sNCy4iYbKvnl6RM2Ex46L325o7jS5I
7MCmk0uNFV1sNx3rXaMxNTBT23swNcvbSteoAFulpHMPTM8l8RD6mAujCRce1Qxp9yL0vkOusqht
meTatyqmsZtlCi3DNMmWRs6jB1lnFsg9jsNbyb2WgslB/LPCKyqng+ewMAjiV3kTtzPSFPncMFqj
nkVwH5rv1I3PcqdGwpvFChdulfEr4Wm+7hpGWp7CUYMaJ9EDy2Yljb60sS7OUcGzWxOX5qLigYbm
yor7NbPSYqb0Nujndcj8uda2+hqpqPmh/CwznR6VYM2BN1H787YMUhCOppl1fl2xeZF6wo1KHJ8m
8FHwTkmRwoOOa/AnVBBoDh1cQJqabW+TMvIcXGpJvCiscOaTqtM/NNggrlSFHtkB7KRyjsuGq0WL
Kfi5Yd9H3oeqycs4tjsJnnLxIDyBUP9VNVpLY/AyClDl6T3q4qDEBdywWVWZvirDMg7bMy7zflGD
Uest40LKzA5QlN7qVMPLoMO4cirAwLO7XOctwBUz5iaeB+dhGYVNPrPCxtedIioN70rkEGFIT8OO
NsLt2oiXF5YqMeyoxksN1TgVnIVzSxOBd1WD6Fi+k7OMwYbDoYrnSSQLbkc5HF7erK2l5WgezDgy
7c7TEwLX63lx7AheNd68iWgUzxT4X+HcTPy4d1hvgsZMUAiOUSwKLbJr1fnqWkktjmepL9kPraqp
1F09ReVCElaxlal5vneWYFpSM3CSVuV9d6pg4l0hZpkvaAzOZ93nc14ocDO7yIq7U12pOHNM1EXS
oa3ZRYtC5lJzAFb0Wcvi3nChsykEXyGMde0qCnQNPIkyST4HcczjJS54Gc1CUVo34CZiPA+0FBnn
ohGKgmUskCgXXlFnyS0cxvgs8HsUzqsMOJilZeT3M2a0PXdY0GXNZcw62NoaiErheoZRnRXYNCPX
97BfuTSpAU5JFdgnSR/gfhOF0IzjMmAgdnEXixz8d0lOfUlDy0FhmGNXptJz+8oLTVtrioxfB14T
EAfLPOjtOAt67Vz3IjI3Ms83gV1Os5nRiT5dCmk0PoQ4iGjs4XO2wSVPYPv4OHfaRmq9XbZS+wZ+
KIR6bAlyhFZGn8he2qwmGv7YRQ2qVlbGu9RNeF5emlUCR5KvaAgEPMbwtDwpjORrb0SJOMu7OGrn
qjF7eW6UfvmRBMhcm60XezYzYPPOq6SleKasXgLzlRHEboTzUDms8WbSkPnXqGnAsgj8oL5VptV8
zwqBT2va+N6MhaaO7IR5sI4ZpUE7T4raWPVthskHVZrGR6PU4BONpSnmlOBHtbMaxYE8hVARapYJ
9RW6khrl4Iblw+YMglwtaKSEum47UjJHzxvARjQJMJYqULrncILxT5jpsLtj0JLFEIVo02WpuIeu
g6IKwxvEEk6WLYEY0mXZloPxKbr22gw1q52lTQxfnaZ9X9stist+oYd0+PED6w3oJ+Ari40VMRP4
FVVuwqMSYRr2Dg8hCuBkkR/KD0lBQeSLCqwCH94DnYrKRFzlBgQKExtnQge4m6KtLmNNZMqWepW3
8xZmpeBZV+doUBogTA78IlAgLTcGO7lM4k8eXGd4xmopmc2EGcK+6Hxr3SQY2GiLoLvBZaurcx/M
3OA8zZIwuGVwWixUohurnPv5V+g2sHJbECHRWcp8Xp17IvVrtyto3oCB2+FFhuCxOjrNu/swCs3r
tlJ6eprrXR1+bqzYV6exp8U/up4POkTmkXDBD2B4JlEn1DyzYv5Z0714HjeZn9uUgJrrikbcyLRU
5zwOA9M1UYF8UHtw5a5dC8Q/FYFW+7MIJSAmveZhviRJauSbGBRydwaXu4FsNIPGngWmBk+0rft6
BodMk58bRYUsx+NRWcNJi2sdTO88+Fbwmn/UOjDTIUxYFsZDqRKIAsaGQeulbBAs1caG6B3S+Ja/
zAAWiIeG3Jr3aV2Xl21Ho9ugVrnNqDolcVubp31jATihbqh+kUVhml4mVksutFIn6UzkSVyf+12T
CYdBcFF8BEtEPeg8ATUCqlPVdihUo2ze1CyHU6DLbyM/N+QXI+0xq+0eLLDuLiuxxmEx5RUzQbXQ
P9O8rPkufF2rnYgqK1xKrhsfWqV5/aKACKWcyb6CTSpRGeDrNox6cxVbWRTZeVbr1iUxBGmdDqwb
NWtEBqg1LJEQJexpDLpDqWhmtLgt3DpCrFj0LIfdH5LWp27ndRC78jJl5Z8bszM+BqKAvQYnHf8E
ez1W1wlPDFCwKOPBnMXCauy2+opY1UD8IwxremeiJG/cxvRLckm8iNU3uad4AYc77OhZJjGgCY5D
115IXIbpBS0yga9Rq0fW0mtTDr+rbTX/Miy0rHFj5YHOAGusKi+jyAP+Cx76cyVYKNym1fVllxOQ
+86yqLSJJ+jlo1X6nEe5fjLyn3IAL2MZL0MbU2Ikl/K+SFX6oxwHSbYW+v88kgJJt7+DIk9ZHQPc
59ezOudD3mM/0a9oCj8hEOeHYaiQhDF0Duv9iqboJzDzfBiIS2H2EwKf5Wc6x4KcDbzoEFAZ7mwF
op/BFBPK7yH2ARdzw7SwYSzjW4IpQwP0ll8Et5hARAb6LGECAtR6kSHd88LjMDxcdmFGzZXoNVzc
IS6iOHGSLjZcITSIYLNAIXmpWIi/ZKnV5gu9iT7oGna4jsEqKGRbSqekumfZHbNUvozTonc7WmMT
go8qgNNUeWcNjhphQ7K8Dz+kcfg5a+IbyxDf2gaVDsV41VlJ7pLElLOeQrDez8X3lArLRnqChjNN
gHupOW1ZLXgShE6Mws5tsLoVhvcl4xAJPk/1oO/cSMR++wlcU+XEsgJD1SzCDPJAsKrlpFVXJpdE
66zTTgSnkkhvjryomellIkHG6uw7CvpvPkQ3ndKKPcfIkrlqZeOkcXCaB9qplHkJB0/yXcdFsIhA
b7s9ie+kr92jyyzpLlMIoYPWhscT9aHjRd5HI2cf4lSf8a5eBP0Ho7Tumlp9tpg/I0mR88OI6/+e
IA61Dq8LovPizuxdeRxof8ojtCiYw417kCM1YFTXEMn4JY/QuQJJeIjkwdVNFNrM/xZIuM8J0qsQ
MUPQeW5C98vfAgn9MAaDCCqyhvo4CpOtf4Z3t5QrZJef//4ywQpBlbFEQsr3cVQnBOHgzxBifSmR
PKY9T2qzvopqCX6oU+Spfha1BjlLenDbncCK77rAR5CN0SBTCmGUwIxru4GIvEg03TbK4GMLsfqQ
tbc1xO47D5JXmbAgFzAE9sGyBReu/NTE3YpC5N+Ulo0jL7VzyAlkbXtmZZXltEO2oI8aO1YKnDFI
JHiUt4sCcguY+aXTqBwyREPiAc4zNCuGZETPyLwKAgY5KHBtuRJfuyF1oSLSzXjZQToD8hrEqiqb
DKkOCBY6OOt1p2tKmwzpkALyIhE33HJIlBRKuaZsvluQswqGVArconefB1Q6NWRZLDAXbQhyLnHL
wHaERAw4RV8snywYzXrHa/BcDEkbDClPNKRxILN6qobETjekeCTkerrU+x5D7kcfkkAmBIrlkBaK
SbgIIU/EhoSRMaSOilpLbeZnD75OTLeF/FKWmpDiHVJOXlVuLA/1K8hUrGVmeueVKSEqY6LYFr41
gySycYMULVwCPr0jB+svVS1fNE14bph5/ZXxusB2BVn+OcSWnJ5QOSMeTedRh3UnAhd/xoTQIc3V
p3aFEnXZ6ax1QwjHzlkqM9eLtA6UFeV2oUIx0yTEHTpderNEV/Jc6mm0YLwpb5FZ95+avhZuqoOt
HqpIv+ysmM77Jgy/pkWNziSl1pdaxfGNKoz8WlhILplRtBc5Bz1Xd1F6BrY0JKg0QoILr0mywZVs
L6qij5Ddx7r3vWVSY2D7aPkyQfqHMOXGTIgmu9M7ePALDwLo37SA+z8Ii6pZzBG4Q2VXzULGnC5G
EKIPssqu+xL2TQFOmkKXZdfDU29meeNfqCT/Cv40d7S8WhUiaU49r2znVK9bu8Ipn1NT1DZpsxUp
UTnPYx3CjUU5yw1+DjEI3w4jCS4a7ofAFU9Ad4eGmxpMujTu9HlaYZHNkLylOIEwkbTCyxQKJs/D
yq8/cYhkLC0oZ7MFGPsLSJ73jtKKHy3ytFNwdN2WdfIpIvhP217/e8p8uJj6dWX+VG+6q8Yfr7N+
LpOBtlK44loHFx7aybmJX6hxGJQKoVNoV4BcGBTJYNDVf9tVlED4Vx9yWGBhDc2qL+0quD8ILK5h
8Negd9+ixtk4YA5fDDHcx2G9BG4TG06gl2rc93Id3KO0WvVRKu1WVt+g/ESAh1BSW68j8D+jz6bh
SQf0EGREWAMKrlGgA+vrWKVLyj3NViaEwnidu0qT56IKLjvaN3YKGxQyWw+1XoeQUh2igloTg85D
l2mfx7anQ5wsVtlV0uqfm976hhT5wnO/Axeak7n3qJ21fh4RTQOpEpBRB01JfQ30YhZ8MlnyLevS
uxo8Zhsc2MzxLOtTkZfLpE0+l1z77CXdubDoFcbysg7FRZnKbyplsS05vYaA0n3EfTaL4YfZEPSy
FgilZ5WRfgUR62YE4kqwbBc6edScgmq661BWzPyymRPSly4KcAMeqozsUGMPuQDdzSLrQpXRxyYB
k4r55swM2U0q+UOu+LU02w5y81BmoPtBOfOaBjIk9Rc9TO69Mv3q5ehKpck9IRZ3qrDwZ1XS0FNF
42soWziVQtkk+L/snVmP5LaatH+RBhIlarkcLblnZe293AhV3dUUKYqURGr99RNqj89pH48/wNef
YcCAYZe7qjKTfN+IJ0LsqySAJFoZt/kU1jKdWv1t8pJr7Sw2b7DLp7ArMNUGTbLj3dhnILgu1tSn
Ligvisl85W2/W/S0c/vpxJLkwAh9XNbxBw/ER9T0zz5ne3Ajnxu24iKM8E3iRUrcnqbTFCUZcUWX
krkLH8LRXKtk/iFFovPSAZ7ilm429AKbvEs+BYw+BnYp85jXzwEjPyAFjMeFb19Oh2EX+MPnxhkO
RsP6wtKxg3jLt3tK7MNQftGBqHekHe5IRV2AAZHMOs/S1A2cNFzrnRu1IoXHu+9spVNWt2MK6Xcp
Ggvdm9AQkAX3026NdyE3Zl+a9szLpjutTc3yXgD+odP6GEm6nxTdDV3QZcEKIxEiUZ+6dvbSeDUi
lwPecTSaHMiweBMvBq9hQ1ooHv36pBnE/UHFO1aOO5gIT2vsn/hU+2lEpEpNV7KcSQGJYai/WT1/
xm5v0yhs311P96nSmJmmeU4nlx9wXTmZdqqDqxyRO1GtMtfV+3Bx91Ayh8y4TnKw1bSk/hh/NKK7
xDMMzRbXUAHd9RiyZcnJMKqCNfOL7uipJD1P8W5s0tC372ZI2sztvTAN1na9b+aQnANVq3wGo8eO
EvuUn9f19InEdT8WvWMq/opfQ2lvxEZsKkJO/V1YNq56jgZpdR7YdvWhwEP1y7y4ie6dsuLh/dLx
6t7vZvaFD22Byzua0qAKyrsWA5qw4QCJck5dyg5VlLAnKOtOxhI6P7jSOZWs434B1G3byWKJ+/Tn
pgbgBltb93ODi39uc2bxMw/7nf5t0xM++VxPrsuvUrUbzSQrL5/D6JvLhkFkdbj0zbpp9Qmoqzqg
XcE5idizC2/EfCHlyMq88ldS5Z3bhOXXmvIquLqkb5xUJvPQ/n+Jc/xJhNhaSP9f1+V/S8Ap39/+
87787ct+WXuC7fkAMVaKOPCBgf669mAjjQNcpsT1vV91CFyy6EdEeRr2ogA8CL7q9/sSWCmebA0k
GU//QBMT+Vs6BDTHP6892KCwjkXwPXBp/8faE8+sS4a4Gm6Cg8KLZRJcezWfYyW7jA79a4jZvRO2
PigdyfWj0qZzHgZwlUu38gweh3xIqlalFsyQZcFJbxBRJw04vg0simrP2fMNNgraasdq4EdwwNyM
tUCSoFGCTsJFq3bNT2ZpYe2XpFp06oQRTAvYECJrcY2extlZT7RVMxazZZv3BlnnyzYBWoyCLMFM
yLfpcPE05kSvTo5ymx3bbYok2zwZ/zZZPrU/R814mzrbbf4ce8fNo20m1dt0Krc5lfwkGzG61j9n
WOZldJtqKcbbeJtzx23iHeU6p842BZttHgZodedtE7LFqNxjZF4wOlcuDjGM0m7AztM2W9ttygaq
2aUCg/c0mKFQ2yzOSscW+MPYj3LS4ddlFWO56ygAXxiz8Mwq4x2Sfnisav8pFq4ajm1YOfaBe6o7
wFrNVFeFh44uRj2F1k36tBrKaEz9qAz2vjeNIqUl/VGXw3TcnjO4H1Rd52uj7hdh7sIA+KWs7jqX
nGMLwNdMJ6cJc71C79z2TbFmlLffJ0UeuU2+/PzM/DNrb4DUX8/avz/I8D9PD/Dd+LpfTw+09Hg+
+HM8YGKTP/4lmqAtGQ+OiSkK21Dx8su0vSFhQKMgcP6bFvvf0wOBww0SS/CgP8zIPyn3vzFte3+m
0gMCVgqd3JBKQ3wrm6jyBxkTb+G6D/X93LvRTo0Bbsc2gMMQTLgQsbKOy4IV0Z1cTK3UPcMv81Qa
wsc8ytjVn3lTmivmnjk1vt89iSEMDhQ+0N1Ul+331pYNfLiRXyoZLVHKvIVnbeJMPtwVZ743fWNv
Haz2L44b2p1XEhpnJWijHDSYuqsxaX6PneoRFje9Mc9zToRVE3wHSDlAeOgXOUb904QB7mpNFYFc
V7pLo8Gpdx5d9Ks/uDatfEM+NB3kZ+pKdWAU6Dc2cPM2+omLj3jM8clNpn0kpv48VGP7MAlVyIHb
HeOszcfJC8Zb5ahg/KZx3gVnT5XrMu+sroe9t9rB+QhYIqq7KpBDl8K0UP0t2s7UiHlz9VSJxElj
HBaQeqy/bjNs4ugQc3dQzcFOyymGIS3HdnJgdzHJz6GjnCXlg1zexUi6piBTsku6cv4STtJ/W5yI
4oidQ7VjVUhPywAy2k56fYMpTetUEe6e2VRXKWdesi/bkb1DPOOZq9b1rTTV+hHy+XPvdDvF+MmJ
tMkbLxyzifbtAeYJw7jpDcu+XmLnzDy7XGo9A0W2ST2nc6Nh+vOJ8Z1prN+m3diAGqm7T9Bg5BFC
1Itfd9WhdbolrdxpTCnA7EMoTAiPsW2O1rHJS+t24d2cdG7eEJ24KbFUP5fGBU06yuTdwYx78iV2
vnZubiL2nLy3I9hcxzFzAVaqs/lccvD2jjbHpS0VZPEYYLqLvY2tXpSvSSRe5rIWl0gE4mqcTnzx
IBBlE7zLi6lX/WUdZueMNy/0tEhNN8H68nO8NtOLEr0sBj3zJ4fP7X01yj5TuO1lroJgNKkxAbII
IqlsYWZqcoYVNcoYkPoDGclHEkJLkf4pmif/YQGchB1Lh95Hq9t113Gw7wl8shS8ME3/OYsRz4Ho
AJngr8/i/5YtVx9/Pom3r/r9JN7EjYD46NzYnkGAee2XkxgPV4xA7FL6G4L7B/kahzPSvxQH+OYe
4Xz8fY5DcoggFoTqLj+BSfX3dA+0PP3nHBdDIQcJGSJGHADF/I+TmPXRJIQfy5vjdV8Yt/DYB/nu
LfQovUalIoRq1g9FRBvIIFAffXZJlu5uihtwCRuk3nBoGANzsj4ayI5Rd+dq/2niIyniSA/ZyJaL
a8s8dDRgFc++8pi0mfTkpaKdzEanP8javDXhzNLBC76XhJusdRqWMTqf53j8XiOylMU1hiJMxEW4
jBQ5FrUW7uDIvG/onMPOhS01JEMWLC68IK2WndLLPVkozXG0nQfsdykM3c8+4LwcPvt37YYncJtt
3s2qTdlo6rRhfkorsIwqSu7XxPs0livDxMVrwHvOlMrI4h9DwbOVtSRtGlamUYm4jd0tEcSTDk53
Sqb5da3YFbmbc1u2kIG8INUL1umGkMeJ1/nIWFPUilxLjzyXi7SYCQesp4kPMtcg3tRCSUmDwD80
Pu6tMm4/xRRrcegubGAZHTvOniwR7VfgJa8Lrsyz3bwA35q9xDaYiq7/OiPHw1W9b9oJu+6AczuY
MB8PfkmQ3ImvFSOvfmcgZfPp5uA5N0VdD2tO6MqKNQG+wfrE2Tt6ePSd6juF4bAHypJ5AFTOOnyz
8xsonl3Qhm/YQfV+6N29HAwrejiF+jXxKvUkXdnWH5yt36e5elx9F6Pq0Ooorfsqjt96ZKtKvL+P
MPPcw2yJvpG+TG4BrvbTkpRZkGDKnZDrsD1iDW7l8qwKkuXOFyucc66baQ8I8NOkpjziTXX1Z/0B
MIAcXM2SLu3DuFr/Oed+c803V+uvzznga/b/OubwRb8fc3DpXKyWoM43242EaAP918CJsTLysHTi
Lx+o97/l3a1vEmIw8Nl/G3i/H3N4aguAWgydlPpIV8KG/xsD58885R998437DpFoQOYSafvt+/t1
4Bzb2YAjrPybmQM3W+fxOC1Bh5id7+Od0u20T4a0t8uniGCdMyz41vvxxSZLndMNFRIzNiLbV2fM
Oy4CMOrqCLeHOtYO+WzGu7kPTR4kvUayZ3hfEvWl4qwAv/ZYB2KvFnsiPnnsWsh1oltgt2E9RfKR
XFQDEo850YupE53JpLGAeMoXWIefKAjFFKjXnIUYRijzb94UFkmnT5HsjjVd/eM6lj1kUhJnYzXv
kWYoSNz+wMr8OEyMnhQr94jZvMd8gcG3vs5YstOaNCT1QQOmYdAoRL7KzJ1xUEdt9Tp5w9d6HoOs
qqsDGbSCtBbh6KqAldrRqoy3/l0NAVHWgZ9Off+jGysvnR1ts1XGN970bTax7ibo2J7mxoK84dD/
okbXgIv6TUNl5Z0JtZuD9FwhZwXrj5iM9d0YRN9Wjl9uWzbVAwHXk1am/6iwll6FlkeKLF1aknbZ
V8rEN8PnpoiiCa/aUAVpzyzL6maewPqpCnknL9zDNUSYtAcWFcwRe3CZ7+3XVrC0Y5CrG+WzFBSv
RvjJZ4W7SHHw/VnCkuNkL6qNz19Bm4czaDBXa0BlpZd7M6RIGRi+C9y23CFNJQtsE2Rvtd8UyhcX
rNbn1YpbrbyjXdia8yb+Ua4iTEXUBIVjuJ8vwyIKTIUYdQcmC1dUMX4R3oKNoEv2VsD5EnMPdoKA
yWpYD+AeNOMjTsN4P7S0KvAkFHFw3bLMx1H62xLkPEjkgNNmxU/azWGIyKkb7mLm2EwsU5wumrWF
A0YSlkbNT9SYac9I9bwQcz8MrioqJ14g9LfvWkKi5BjwIdUkwalNcEtsGxTCZ9uviBP1dTJUvCgA
oampEnVYBoRoyMx0Kkvl3ZDdBfTYriXAqAi/4x76djzhzK4mhGXzaODf6wYWsCuishhZ4xxcK3YD
lUVZqgQ0OWjwJlF9CoS4QWJNwMEUU5z3bSOzELDHw+rND2IeHsOpqQtDhMczSeQdkHJ7AHX4w6r1
3XpjtbOtN0C6lP2VgyDL/DnMZd+Fx3CZykvoROM+LlXwSJzhlSfaOrlrh7ncV2T2PCxC7bcJ31W0
OjUYTCFTE1fd3uHLs+dM3m6GZZy5Y3JSDQmLaVo8mD8DFCSDICZCCCCokd1UyjkhxXzgvv8yGmEz
7HLPTSdOkVD3U2Qyx4muhn4tI3IedDh+Rtz5YwrtZYbfkypckzmWuOkyAB8+JIkVKe8xkbDavRD8
aRVQmnEMfnSgbTNvlVfszF46JtHrGiMswcUaY6povpsICQoA1kctlgcYcRc436D7N1dcNbHe19wD
UTpWsMwXjcQozGUEoJqjMpjWIuPT3bLgJfS65jY47EnO5VdXD1/aAMdD7LZjHtX9mU/e21yHYWFq
H3C+0WznDR6cWXgQddBjdzHgIFavSaUZASlNnwYE1/PICe6TOYpT3UTqCHYD/6V1EWWs5Zi1Vp8H
4R4A5ikEzMudcHV34yAUoG8LF/toktu5/zBlWKd0hHlSkfALJKuGFlrNV0XsNx1ERzXQz+DxEP1s
vFT06ztSBGDl9XzADy13FQEE0XhrLsPorhI4ZRKNEGk/ZTW25nTU3sHpwCFNXS4IR+KCTw8I5l8k
MX5Wcvlu4+QQKf/OY+3eCbo9AyOP1zSbpYd/pm9VzHlm+PDD8OgeoRtbjHo52iaoigG2jhPUD+Ca
HdwFQyZ9OHZWPjSJk3u8epYIalWhOsByUPnQ8GfJbQYnCe5JaaK0WdZDidwGl1nsGmgiCcmwinyU
AyLBuMecZW9iYuJ73tQyY6F6dHnfF//sgD93wAADy1/PRv/uT/vzHrh95b8GJLCDGEDCgBI8MxIK
3C8DEjrUtx0viLHu4WEYGKt+979jjE4RxUOtsCiSjTn89x6ImuaNQ0yC356vgYnm7wxIW9fvHwck
hD1REIdtE89fciEA/nFAcmLHr/tZ6tuwIHJyFaSl4g4egyCFtY28j+Cj2qyR9I623f1Qxd8CaGJF
T5rn0ZMaH53m0pH+i1z0SRr1yBueW4fo1BflFR/pazsjTKYi3Dr+CO/R1BeINJ9WoT7QqDCneiQI
kNShfqBs3XlNINJqlelQVnVOggHMkxVXaF7pjM6VvPdH5b0TR+DImpjcTWyMvSN6OHp+InVo2R7+
QYB005iEHLEGH9cvzFmoRuHYHiMeNfsuSk6hjNfg2S8tTraymcSQJwmUtksvuPkiphIfttFvyG4c
RmjZdhDnyKhQYEyjZsJljShU8rO9oFbRuBbdz1aDBsorSyW6DoYQ4ZxJqk/RVoMA23Ifj1sxAhoS
2lKXebSVJoitPsEf9JVvhQrE2AD0Fy+6tcQAhNYFXY4vBC0MTr8eLVoZxqjJ1Dgdg0XlI1ob5one
kjEELYA+h16Sx8Xwt9bRZyS/HFzow3XYKiAidEHEFUoh+sR7HAfniPRdocruDqjUD4LxrnGmg8ft
CQT9ATTEBebIXYPWCbBO7+5iHkGaHghaKepkzCu0VJQeu4UVVKlOtk8SPRaR4rls3f2Efovexrk/
T0eB3osmguaIHowkNicpUIwRN0DQRPJDeboI0Jzho0Fj2po0QIJ52lxLNGwkALx6NG5EQ5y3aOBQ
aChZdXNDAjFN6IrUZgA+jHxaJ30d0eCBSfYOr2XWimmHaO6dKPWdQePHiosL281JULFvQ/croaDA
0RCCbfmdaVSGbC89i5LnoEdEtvH2MbpFvBEVCwPaRgZYoUsn7vqQPHRoI7Gr80LRTgKzH68w+kra
ujka9JfE2JgT9JkkgclGJT9F6DnRbvVo0XtStvSCR6fsCPpQXDHKNFy8y4SmlBHfRAY6PceoeCnR
pRJHXoY44YWhYwUK4Bl78xG+GAD/pf/oI/I4JvNjv9WzlGykDxEaW3g4obqlDK4LGLZbL11xxBkP
A4gT7aPuBTp6Sufu5ob0Mnl4Sw3IlsjROFkXTm3emuT7wuY7d27yoPEvEWcPc2fDfG7hcUkZ5X7X
fbViwdvPDxHcK/dzNy47xy+/rr28TslcgaofnmsEbnzHx3IfWPQ7aGR+vBrCit8EUeZU/Zy1o6NQ
/OBdyyB4DHre48prLOZcvOLQNO9F6+xNgHDgKPShrWonc0wkdt3sXa0Y9nUJ6SNBPcQE8wvvDrxa
hKAKZjD3HfIxmQrMGcxHn1WLOcuG34Kyvvids/f8qWjC7q4lhKdT13xrgwYvxurkZDJTDgYCvywb
PlAZHzXyCXmvhZ+qusTMt6KmxhFDpl0C5qMCRih4e2k4oLLaOqCa9WcLOildSDNmTrPeDR4qSGr+
PfQ7jAgxOZStoqCJKpEqMT6GirzaJDw58P1jZ5CgBhV4BD5d8QzxBTUdOAEaR7ZZghR0TrpySCfe
djsxLBfdeRMYBn5DjOtlDAF9VtX8zEKK9zuClgqD/hjXtxJJvazqGjSH9OIlGUGHJ7xK0oA602XV
vjxXNKz/MfL/VxeBrf3Xd/9/N2/fdf/ne9/FV/1y7+PuhgcXB3gaOPV+FUagmUCNCCmi2n+08eP/
wkPDXXRD/UYo/9rNgCckemh0R678N80k+lvX/s/ygF9z4rAGYQZCHNkUmphuT3H5VRfRLV1rupTm
5kr/udbmiRh6bgLzUM+QKqYxqE7MxUrmBQeUm6CwqK7LXTmGOAvnoUzdDtVQ0YKtDpG/RxfNPVnV
Rl46BTZMzeo9WLdDsD/B/0tFuiqAAXnHhPUEd5x86iMl0lXpOPX0fHU6F2OEEhAQ1hGf/pnihrQR
Wp1G4kCbmbo7VzXPESz+K25bdRHbAaBDUKishPRIZLQPDA7meNRTFlZYQtdePVcK3TvSaVo05Jhj
19JdGVuGDQW5wChoPpAef0XyFoQLoQftO0/OWntp2ZnruoXsVsre0awh0o4OoJz1VKj+KLyLx/zv
Y/XW+5lN2EFriBzTOCBJvw4Cv5Eano2cMbqspi3aRbxNK+Tv2fbfBzudPNtOaeLiB+rH8mj6+B7e
Wos2lcJZL4P1TnMQf6UiPCIkEaTJgh0pieilZz1GeKBSwRijQ2P2bnXYy5S5Q+HFLl4SPzKpZcwc
oz5wU+RpHwmbgofEqb7NRD0YFSNOJ32Zca/ydqTTJDXR6O38EBI/RhJbyLoXeVlPXtq78YXw6rgM
PEhpX+UiVo9zbSDFroNXdD4KAGKD6yVMkMwOEccrWGfHJ2ZdLERe8ok5WqRAnvedK1ANEz0Hyfrm
OUztm6VOLeRglMokuSZVnbZI5KZt0B4mdyRZaLuT7+FnWftun/gN0KXSU+59G1j1hNow/MG9gUyu
b2vQf+N60kcyOvd4g78lGq1PPTSgU1V7n/tuvPbQmXIHKkLOJ/9jnoaPMVqWnbEzLEQTlweEfN8b
fEQhtZEqq0F97Pg0PMESNecmdk+jEF/aFaNEh6ooqqu9npxLtyxtajBS7ywrvVTX5ZQCgb+zYsXH
Z3yuWPneVVF8UD5i1cJpnsrVRy8QGT51PhzjDi1UMdUnUBUS9kDY7GKjgK9R9PG41QlSW5jWYn3C
/3O6dCMdkbLUurAshCW4JWpRjAW3OdlevNlfMjcsw9wrg09Giz4bV1D7xih1MmSYs9nBMl8tHOVJ
RkKom43+zNySHVRV9fcipBBd/C6f1eLt4qF5jckqUmYrhBgFJB4CIBbpQ1WUUgwIVNYcn3ZLjoZr
ZIREWOU9GY7uGrvHLq6OkVfKfYjvJe1Cf0lxLFp0Fpl7aB8gSTt1CGx3EE6YC73i/hcWrI50PHzS
Aty2aEJKl6CK8oSZ3AZw/RGzzbFA3wukGrQZX7xZnGk/nLS/3CVB/zRGIzqYTLOvHNzZqilX3N7e
3TgPL1xTONxLdd8Ew0PNpte4nq+mWT+bEmR/jcKXtNHiFaUIp2B2D4sxzzYO3bQblAvvVAPsk2hT
Ml0Rub3eNUtsIAnM17L3H2q1yGKevCIi7YkMg0oXM/wIaPkV7vcNzRN3KMq4RwIC3tVo3suSAmio
18+ygp4WdDG6x0Tz1TQRVM0FuQtL2mcNl392Wl3Ai55TNKMsNWACQRF92srQ8GBcUlQamX7Kdf7P
+v5zfSe40v76Cr97a/8E4lFEjH+5wGFf4PFmiHpEKOrduLlfnQ04YwTvCA/3MfCYXxf3DbwBbgeY
Y0sZ/bK4I5qEZ83j3/iUuD+jSX9ncXe3G/qPNzjKXEjw8zEfJIRp/ccbvO9ME9CRrDe0ajQpgtwQ
wxMwGC1dXjzR7cttVZ+8Li/b4d0d8PbcnFZ3Ds6GljJHLxmmxC536XKla8tSapstZGfBifBbyOVu
KeN7V4Jm495AAKC7+3pOrpNPL7rRe0S0D4MgN9BlQRqDSc56hlvdhtNTSPWA2kXvwwnVGWNImyGC
zq5RWLepg2q5NO5osYDASDtw043Pjy4Fz9CS+DVq/XtD5I0mlqcDIPvk4o/yFQTrvpxBFi80eZCC
PYE2yRR143yhAvyzhK2w2OBj0kzg+h5aPPEAf85Cx/3qwHzw4Z86oXdonNrdsdlDqQJyjoVNuGsz
wtrT4LK6IO2kkN2JkryuuoxLTNidfGfgsrfsZYoCvv3QQYPNQGfvZyQVEWipdnqqD71Sxcxsgoo5
HIqB9I5k0WfflfzkOWCR1YJih94Fol9Hlwnx7CyZwickrMPdAlglc9SInyLpgxsY+qOaBlxKaxKm
1FB5jKPkLqwhYisFEdmWXw2Ln4UTQ9F0/EOwlB+QdVTaIEoNqLTJodFPKYEEuuV/DroqsarXjfu8
xAk6I2d6bJSa84C1j54nD5g4oqyitZexFcl+zU15DCdk1T23Rh5NAKRX2LzWii9Fh4KIlLL6G+ps
oMl23phZZyWPSYdVeKV1gToZvndcr8od67m7cXKTGucwaa51WOKaGxyKkj5MLJMT18c2hugcBRCM
YXqnIYkE3BQqu0NvmC6f4il2Tl5YfcdA0RZxWSenFQpJ5sn+2HfsGX0eG6tODoHTQqGyUJ+rgRZj
rHJIxvqs4v5qTPNDz7AUgnU6u/P4uTXgwlAb8ToQbGrcT/xsLFukqWK3iAyGMDVfmsYNsj4WD6uN
R/h6bG8nelWA6ZfSebWThyLAaT1AKsN3zYIbFPY9WvV2lAtg70GN+sna7EVELjLETeMm9uvaohnF
rV+wNndpQ8sjIx3dj4ttMuF1vOiFNjteqbfEreHRI0ErGdqikuSqJMB3OoIjipzvvOQv2lm6jDms
QqGL+93n7SsKN3KHSUi+aBR/G3taOJ7zZQwAkE42hj+OzJ4Hde8hrIOvth3Pxou+R6s5L7S9W73g
zDgML6PpbcYodFV9s5cotijaKDwjfZ+hmxNyO6keR0ycac2XryR6rp0iWOJzy1HTCXkfPgk2e9U6
z3zEHmBr+RDzyMmI7r+0jn0U4VBmylnvK1rqDEh+7k9l3nBROE54WA3sOFuKDow+mNi+RjlplVxh
Ex+jsYa7WGVDgFcdm/t5jGaofM36FdiT3dmmz8IYKGuP5k9HsMyO3WWY1mPS8ndCWzdFfUqO6sok
bbl4spK+Jz36MIcZ/Zeqi15hlKnMa0p8iDVqPn0wVk2HszBNVjmjnwLlOnf/3Lg/b9yNcfrrGxeN
hm94tPib+T/2Znzhr3vz9hRK4Oq+i79hpf4XULDBqBSrceLh5v0PvZziw5C4aA1D6dkfrt3ov+LN
+0cUGJ1iGxz/txbnDZP947Ub42ZHXC0EcA99PsL39+virFgM53WM9c3F3XhoYbTj44oyY386D9G4
ANIm5jIPRO99d8XoNg/3SgTwlFXz3gdEIyNmDhhNaZH4/ZKxKfRReYv7Bm72uiXESF7ZGDmvLlxz
Z5qb+44lnyoKhQsJVD+b3fWM6ppLT4NDrBN41E6175b2Uxkzna1dfF37BcSNrscDgionhrAMxDl6
WmPepCyIriEJXhhth9Ty+CGZohoNoRwLe/9GaKDQEMJex4a2UKAqhu6kaMT1vV5DFX0C3mgyJLY/
J1J/CufxnNRQNCP57NDmauOpRaCnelE95EbHQytWOZ2jNXhUSuw85nwhfM5Yx3bQBiLAZe2ljfRn
TFl3ftVA9afALWfM7XhTvFmJiVvNaJF1IlvwcK1SJAfQU9vP6C8ou6WIYzUU4zguKEaDADrNyIsy
H9cd1D4se3eTxHbA1snbIzO8E2GHHXYUSDN7KnPIeu+X4Tdi2+d6WHaoBGlSn6n7OcCFXDVHTqBQ
lpG5D4fopUKQqWiD5TOiVOCPJtrmEFXqTCqudz5fTK5ItLf9+tDPKtp5lTzNnvyo1k3AteQlrCAx
Q6Avs1AnNzFG5E6W0WGO2VN3F1S4FbFaT/E5XJAaJ9gseYRpIMCtwO0Kodq3I9pU4s9VCDxg6BRJ
kVTcA9JTad3ob3UU6lxYoFKk83YyRjeKCwLFLge+gONvGvHe9/4H3CaMR+7/sHcmy5EbWRb9lf4B
lGEetgjETAYjOJMbGMkkMc+AY/j6Ps4sqVLqqmrTXgstZFKSSUYE/Pl9954b7aLGPEmuzCSaCFiD
KNbpnJuPhpWB0JpdxBHCjlXZHNhn7HNLA9YUb/CUcuuE47Wep0lnZGIgc79NXaU19OtRKJekHn94
Sza2K0slhqFyhV8ak4mDS72pNPqq4Zrv2fLqqIfIQq7jBtTD73SpDFTt9AZh6p4cdECyGdADkQ/e
uryPvKfKEAbSJhoDXgmyS140rTNnIFICRYXdN6pEn6M0GVZ+67FjsvXQ8OEg7kvPRl/vNL+Q6kYu
c4eOQ57ZRY3aGFIFIdivbhSpjKigao4zYkmIaGJI9QQz+a0r9RRJRdzXHT9L3I+geBYuwybX90hd
bqqKT0oqtRkiyecQsSYuVDWopX5jI+Tkpf3aI+x01SUxTbYwaD6uW4T7ya5OE1OoL9CFPL36YXY5
wgSKUWEW9drJuixQJiULaiksjZaU0xorgpChbLn3g7/QpRLVXqXpvkOdSqpmXjUhbwNRhG+zlLD0
ubkOpahVom5NtbkrtVjB3BE/KlH2mQ18ZPSy4r2NNtZ5ODqlWOYBPpQbgHv4g1+eVNSiifedIUW2
qoSFAXaRKZ4bvIia8krRJ+taQ55TkqI5TQKelyu1O8dbwmCSet4QcuBHLRpfPIpr0WYu2hM3hdxL
7uKWd7NlRtq+zdOYQD2vOJQvWJnzcqnC2iYUZKBEFGJZ1QiNRtMOWGL4YMVLE/qQ7aH8SWWSSSoN
qqY3d2Tw8THFhwwoHrbH5lKYxhHMyB3xzPtQ3p81XRxCeaM2Fskb7yrJHq+5FDxn3+s9+3vV17H0
G36u/75XgYncCjZyP+h+rwr/ngl+zgT/FcsDRXLo/s09XOVP/T4QUJXiWVymTeC9OH84kH8fCCgz
drnlOcCPzZ9X9N8W6MB8uLvDMSZz7qp/4IC4/5C2Z5J0P2/of5EDIm/0fxwIiKlr3w0Q/BVcNP0/
DgQT1A0IbaF5ky21M+8XuyqMdxEbfXgD/csoChyDir5zQ2n2GOK72YxMPyNDxbHBPU8LWVQTMMjW
g9ebXN4KdaeOGeafycDiJ6o3bV6iFa6dt6XppqAw4o4tus2uKwK+FqbntAF5FYX9GgQ32G4X7JY7
LxiPPKyJeKhDyJQZ4BGlEOu47fMgtvvjUNaerznJk9DsS2KUWztnkq6moBTLFngOzyW1UJEiq8uC
flbZ1Z4HIMDwvIIo2CsY+gCBYUla3ry0vdh2o+4G7FAIZ/pZV/v8ejCXagNrrwxQFSowl82XEUZv
Q4plu1CcdT9/cmhb3OCbtVCMKABodD3p5lNdRkisTBM7swNuymSFgFBrsW9UDFqL67UrTUxHY+Hy
oLfL5+CGm6ESR41QjcalnP7NbWd06xYaJxYx7qj4kVetMD57/DEsLBckeB+751WJf2ZBesDGHhKB
k0UWeGxcabbJ83pHVno9Vel9jhun78tL3apHWEsr4F4g4qziInhJB2nkUaekLbe9orkb164PmlW8
l12M3O6EV1gRrgA2lhL5X9oHhtX2ok2YCF9JfUT6ujOqqLwoSz/XW8JOM8dKpj4T6WPpaYvsgxYR
HGdE2xN9+IDWskGuilajy39OhvGTI7FbpbBK/EJMu36OT2YZumsmx3lDOPxrVLglp+78Agjhvl+m
iya0V6OtD2q1vCQsYFe21RlrJzJ/JPp0GNVofs3jJmM3WgPSNRgIBTlvS0W7tdoLNLud07rKFXjZ
+znhx4IdzyImcm/CqSPgGS9ooVYwxD2urMz21j0h7t3ifGlpZcJm7B9FD5ivqE09yAFFZjRMbC0l
gfsKQbfWLJz9BPeVKv6IsmZZ5cO8bNyR7VA6R1td6V6SsdpVfGxWpYvGASgT0123IJGzdtaA0E2j
GaK2KGdu689tr0LKMTTMW+kDzQwRmE3dYUWCQA23F6zcLncyh9VDdSgxd/gxENChISkT29lXF/c3
dWG+iQ7XYI44ns3piZXBsQYr4zPOHUuIpb5uGGKVoiy3ccK1vBfjtpmg0fUxh5fu5W9l5r4sTrXG
RrNXu+jFyIz6blFsxtvYhdWrWw+OEt9N7LtUb3xuYjPZ17G3X6bmGEZufQyr7tnGoAjj+k6x7X1s
uDeK111i1f6szeVUFO0uq3hvLjYYlppOiwDg760QGPxgJKJhbds09tYoeKXPp8d+7US3j/V0uA1d
wSK8zDeYaI82sIS//WH/3BH/V4E5+Mz/5wQO6N/5539VmY1/AETi4qr9M/H9y+lmyo5u7rM4vX4G
fn6zh30HNklyqt/tYipZyt/tYaaG3Yy9Lhlt24CQ9dfi3lJD/lVjNgkHYdQnqknSmwTony67fTik
Xb6U+rnELqlmyZUTZStDzD/fIhAF/wNM6/uQ/Nc34idBRJebbe724NlBOP/xEAXcnOEezsazhUlh
38MJNdfWQtUNdjLuC1EGtNbBE9lXN948XDVZ/eDoLVhT1nmrEfzxOmu17Ij25QWkrWGYzwjIioWu
HY7t89jV9apwYx7y0vYed/ldzTdc6XV+rtSEjwQmJmRpvQlccJ/k8wppqXaPTTGtPAz/K4pjlsAj
cGcY1GSEtthQeNAHA3GhoCOlWDvmk+I61545eD4/5jPhzGrFffaOefpWKWjxUaxTn6iCux42UrD/
+9YTpzEsIvhK2gMf8xzpXYhAlw+RQfQXeKKb0RyePLf91CPnNSrml1beKjOcXQF87rPVhkcbVuYG
M+HO9sJ228Utr1DbPlR2tEtcxNU8jo/ELN7LMc42olDrwBbEi3KZsFQG6d1mrt9o/fKqFbhZFpMi
Hhdo1ZxDCq6NoLGz18HRHhBlr6upGPxKm2+dZthCWttxkVQICAB5Hk0DQxWc9lWsW3fKXOdIso27
crxXr+dCZ0zB0CB+doOZ+bwhApcRjdcv3XKV+3Ixr/l4la4VMfCILMknNAwamjOfdJxj08xkM2J3
2WRafgbsmm4Mg2BuYV5HURj5vWZuPTg7XDHYgCi2JYK6oeyGCACrtNuqhDhoLN1jYrPKjYB8+kaf
33XjsNesTOAqVD+orqKkZpwf8ySxtpOx3OgTu9guTgU80vaHlus/9DFngJi0XZUjTJLuY5oYtwQ5
LgUS7ESbxJVjUKJk5+XHktbPsQMcpLCre87xNDAbJ9uNg7ElvbDSjXCDTxvcKG8x9sMm6wgNcfit
TOGqbBZX6eeVZU8tOjzGIhpX9BbALcjaMoApstHcUZqy2+mQ5xbLyVlbqSHXKNP4gei+TyzauhZu
1ZRC1OIxswxpHUe5XnwrkcfzpCVBlup7g2uhRgqjl5qB27wxjd5qmfJJIDzzG04YSn5kWEDAqut6
ltFjwMJD2yuFRexhFFduy3CnkBywEqAtohOJRCmML3bqdOxE6usoUcNVV09MwJLv213VKVm4vtuN
Y/8Mvp4bn5euRKqCQa7YE/CRNcrszJl4zBVlv+SkPOIojtfLNJPHEZisRqD06Yhbaxq0W4Db26nq
PzPm1NWEUbS06+exXeMY2cdmC3lZ2c228zal6utiwTNy8rkDePSam3di7AgxDIe6wtYHVykt25W+
4f4OgIkkN5j90TB3ghqfVoOzkyy12BpO2m9UjRhNJMzX0kTsnqoRBFDLlmGst4NW3kAYesFORpxi
Nh+pDXGvawXA+71Ex0Wu2Ya7Si+0/P97jP6RZSWfohwXsm8ObZQbk9xL/qpNdl1nmOFsz2cqyhzf
3IaH6a663qe9r7yVT9SU7XFo+OGRWWoI0q2x/0XPPf98XP/KRPzjRvKf395zOHfINFkY+P/47dtw
sIRiD8tZOPhc9x5heG96VarC/+vfR5erVzr4QBaofyrz8HrOrATO8lkj6D91fp5/wvAh8P7/fJ8/
nn4/fx5+n5yBmqo5uEj++PM0CFbWoMXq2baOrU3QEgnDfPrvP4v5716zX3+YP32TIVbVTieCeRab
7hEbylrs1B9uIH0+15j5Iv+2XWPS3ei7h5Mb5P5JXCebx24dri/pYfR3gA+v+oD/Mag2/LN+/O9/
P/2PvJefvwQJenEM2G2o73/6++V0RXApUbUzabVTeFHX6rX2FB3ATCHtBLN/eNG20+rUbMadZa2K
I9e0CzGeDbHZv82GPwdJWXLyn/cmd9iUP9v/uzSRf+oXjQS5Q9N5jb6DBLyTf9dINBrBUUHYpPyG
Uf2XRoL7ELaHbVD1xEaFz/NvKUyMiAYPEgqknH/uU/6CVwGNmk/Kv8Y7S7UAE/FosvBDqtCQ/wzZ
EzphnEbx5hss8t1GVfISBVUlep0ZnApHevcmzADCUpSVFZb19YgPSy2sreUiXHQt0ewkVq2rqZwa
In46W3oYP4yTkDdno9voWs+KHDvYDlG7vuhmi9/f7JVjMUfWtkurZ2/R0pViqR9lg6ALXP1SJCQT
oefkgVLjzTYi52ZxiR2VFbvvqKalCn/Z4msu4fAhiWAtF/olM5R8Lwpsj0VoramAsXaKg/ZrGWG3
18CB4Aa3S4u0ZHYLbfBzzJo72tCu6kICSlVb2aeTMgGey/PV0nv1jTqA/dPlBp2vEmrZNRmNMTB1
yvymMg/C0QMGxK/G0HOfaPdFzZbHYqgfvLQ5wsR7BfC8TeuCv+wy6lyI0yvTkgAV9tVL7f6AhA+1
bYbHT9TySFi9AnU8NuhQLDhje9p4dBRmEEtgZlQbLplrR2lITtXPqRRZHTksJ3HRrkdrfl8Sah1k
fmikg5HdEJp5ajTuufsOGikyc4S5E5iySr9hg/jiajy6EGN0RBmutVtkoeOgeRsN0WZx4aBYjjiW
k9WunJYQWNdxlS8HQIZmkaL7SAXIi5A5RikKDShKUiXiobwWUjfq5s/QsdcUTGLhQFiiHehrcKKK
QBqaUy/VJ03qUC6CVNjONuQ5NKo6rS8xopUr1St6HqJVLBWtVmpbJSKX0PvHFNFrkOqXbWPXdPN0
I0nwUh+LEcoGBLOJ0p5eKmh9QamB1NSEVNdcqbO52Gsg9kV94EgVzmFNtK6kMldJjS6RYh2iXfat
3iHjhaMLFF4qez0Snyq1vh7Rz5HqXzcpCfvCkJRXX5nB2GcZ9SUmwRapHKraUgeTVBPJwN45Ul/E
563vdCTHPqymFdAmEgMTjR1JQ1sPFzwmqvFia/FL6Rgh+7XCXVudfVXY+g4iGfJX5N1MJUTfXNGt
lRMTrYnAh9i11vsWBW4k76abalL2bdVTSjhmH8h59J8Y7/U8nlNzmAItKj55SFGLGhV+O7onMVrq
GnxV6wOqEUAkurNRGz9Sk/KBro53BtSZMfVOGFXvkCHSVWEtLznML7/DLr9xrTTd1FHLujK0X7qq
ucDkkX052We6iGYH1Gu7DNiH9FxhXGeL4ntRclfF0ciHOiHWW2dP5Vg9aW2MZ1WYb62avpY25AVu
k0AXWDMAFTCuh8p9TFvlqEXi4HoFB91kre24PoRghGligmhhEQ4FrvPSNzP4nuqqagsYlI5UjSLn
uV8wPGaR4e1EjYeooxRmN+K7wG3qmTd6VrlK0FBp8uP7NPibhyXnuv98LK7z/wmqFh/+/z0Z5R/8
7WQEwwL6Dqc7SRvJIEBY+OVkpEFKhaeig+dHf/mXi8/D+ueYuKV0akd+7hz+dTIyZvPstnBWs4n+
a3YC4gB/Phldvg4DO0R/Rky+7p9mzCicLEUT+PDN6nGURlyBI1dBEfKdtGvPFHxh1+UO+WyZPOg8
7FE+aTB4/wV8gE4R5WGJ4ArQZ9hyAzSf2Bs6ED5diN8c/pvFJIpfSOMwWkG76s2hwsbl8YCWBuMU
pzEVRpDFJzdGJ3UePNzIXLbKjU3Mx4f7dGBEjHYt3uU+mZ7CEc1SpPUdZhk+TUri7TQ1+oBVdT8Z
6lEphhPxJw4gaY5W21TbzBZpJFBTV/mYbGdppcbZdmTl/BL2+qG3646KJE57QZovaqifGkaMuPZk
vdvQyne9tGu31DFtvGr6tCv703G9NCB+zhGJy9ubjOcSs9uBA4LMIU5wXcSXWFrD+Wt+eGVxk1kk
lQ0h40h2VT1O6MhrJnKSgsBNLEgmpIk3UUXqNmQ9uljFp51r60lST6q83ppwUJx2vAU4G+1Aj7sI
7RZ9SOOyBGmi2OtBmcBvjQb0K/0xgbEiJGwF2yiWPo1i21KiWFKYLDnpPcPuXykAogHFANsywG9Z
JMjFVedHDprRPU8dMMC6nxay0twUvatYqb+WIbZwC4t03aUDjVkT4TVT+pOKBFNHk6Tevm7m+GJk
+gO5YWzb1HrtdDemzzszXhYVrhWOJm+4H+w8OrHMqA+LWrTUuSjZrraq9ZiqtxrLbO7eLst5XA1+
piaP0u2AtWtwfUNhw8qUhNpu11NgVbTVKUp1jtIw9G0ccHhU76l+Y1edEnYY0Atz+2AOJb9imPJh
Oj3VVvLDMYqrUEnxa2tNA0iCOcRRhjez6Nhpm8aLouevqE6QfiJnO3tmxUyR7nQVr4TEhk3DslF0
o/xG284lHQ6pQ+Aiu7JDh8pAyjsJCt4VS/ml5pVLf7dr+7Y1kybPaLUSSvqh2cqzRRvzHE+3OZm7
WSj3WGhee26RaGceHnDl2EztSTXCh6lMj/PIQ74J9ceoYBkSt+E9VXVHonEkEfTI3Bg1ck7meqdS
N19CZ3xg0qaXF/It/nuUJqrJ3mlmvh3b9BRBH9ZDGVVxxM2ombfGzM9ShMml7bQ9WNAVQd1DxNQx
2OOxVqz3aO4fpYoH7AtShnUTJ8vOaAu/VnH1Z938bA2uu00jpcCYx3qLxxxUo0aBNCLj/CF1ayuR
tM9tVxwMT1xnhr6P1eVxKEFPCHoxVo0x7uvWSla8YYFwKPktpIp3WvmItWd56y+2u5X9PWuy5+6a
QYSYXwwZBZjsbjFx2zB/ppRi1aupI0agg+KQT1yeUsQ8M1OcqwFhTudA3wxivkQqAQqNbZLKr4Bn
0sWY7et08D5otpabHPtBt81rw2xSXLuQFcRcg8KXj7g2XmAoqXe6V25yh2SdLo3PHVgUcOH5rsAk
ouU9ph+soCub99uwRHeaar47BQu9SHevoYmG2yhSlA2y9i30whYkCM7XWXfedRiDa63MITDZ9Xo2
aDUrEt2Uq7NNRnq/7ZfwLm2WdJW02n2ZCC4h7E8/6ljh6iHEGgommKfkaYzFTevFu8JyvxaUoXWP
DwoshgqmpKlxU3eWwuq1W4qnAv5LdL3o0YxvWhCK1awj8Lp7T+YCWpkQoNHylUylh/9IGLgql+eQ
LKjvECywe6VZLUN7NpP8FBM9MIggTEQRNJlJMMr2kNPJnUUmaLneuhBBuB48KutsmWhIiTa4RBxU
4p2AVEg9MN4Bml6Ge4NABJHkA81oj6lMSmS2K5EQyzM0vuuumR8La7zUY3rm/cAvgbhFQexisXBe
9BKwIlSGZJnNmLz+riSsodndgYbFo6lOD6XOSEqowybcUXtmSWMDn2qZ+3ByG7VSZkGIbusALMiH
lCojFc/YgDTkriRC0sosiUOoJEptZjeZMwHOjtXmO3tSp/tFplGUjDa073yKTKoA4dH32LaTwJM5
lkomWjIVOjSYU82PJtRzmXv5eyr7aehgQvnPU9kG3kb570Yy/tTvIxkkO1uFb8dQBv7fZFr7fSTD
4ckKk6kL7QFTBxLHb2KF8w/+Hc8GaFMZufg1GmkBP8ba6ViOzh4JavJfcXiS7vjzSOZBXPBIZzqa
heD1TUz4hVGaFQB1pj50Tiy0D1HfiPK6H/XZXqWFqOkoKhP6ityxo7nou8So8iS3t/ouN+rT+GUy
ujsqGOcg7spsNVKFRCVGgDyNYC9bkiott/3KS9/hECZ8UOlSmpWO3jXa0dBxetYHygt9f7cgop7G
odKySw+j6Q58z84DHl46IaQQPsmRmiinLCzdEe2kAUekRC9z3cfn8BtFHuezc7ZKlx2EiekBr/o3
uNz6hpjb9IBuQp5T47r7xpw338jzgYOYjlVA6JkukehdVu0IMaczR3B7TWHkYRysWysyZxgn5aO6
5PffpHko9h+6NJja8fBOO2GyavuU55nxHsvivFYxT/ag4xmdHoc4sVYGA6EilEApeARE0ldp1jU+
7XnE7VU65loz4ydsfC7rkwynm3WXuRAzU6qsZyX5oXvOfTGYBB/SZN0V/FIst784BikNKmyb3cjX
98l1ZK+zQdNfNiY7dWF10cgNVJG7902u6ZsKADzeuB62RKrvYiB/pRBtUIzJ3ogNEMhF7PhUJi4E
/jIy7CmeeGiEB6PWLyGp/tVixLhOTX1XZexfQMePK2+e9P0sNHZng/pDrbzAHbpipYRWiGex2xal
9xbF1dH2nCOcAllBDe3HWDwu8KhPHj2FU6j8sDx6H9RpD0nwFLU2ef6wDep2sXdFKTtXwvqrr1hY
2PD2/UEpPka6CKh+KZ95S/d4DoSzQwHLNry9Lpgme793q1NvpQpzY3imwRXcBvG+KNZuwxrZbeBE
JRzUWisIXp1kggF7qJ5J+LQIF/2h5xXsu2EDYzrZThZWZVttqvVSmvtCzDdTYz1pXX8itnOfAqpd
JWr3WETxbUyhY1CrgGsjqX7ZveGLuL2dnfAeYNFlaQY+Ihr9OPCv6dBIkjnQ2vA8oHnMeajQG6R8
tI0SB6pZZ9vZ4pBaNC/HZg1nPLI6eoRUM6C/cjlUtXOTUkG6qVxrXNVDaawKQZ6pMccrbL8/YHUf
ErD6uKeSazutqdFQnSN0a22rIsiBiWzgHEIiMLUUkaAeN7PX3xDKeRZKrK7oKxN+Ohfk7wfjq5iH
xaex7HZYagAhDj4i4AuOI6t+ywpmSAa9Y1zKnWLy7gzlSNflySdZmIXD0Xm2RutOZ7W3F1XGMrbV
91wTjcBw3atYKBhTTXanamGam7FJb5LIhqOZ3Ra5OEFfUdiFOoSt02ydFN5Zj8pmY+fcJ8Z6ZGHb
0tLQlPY94S+BD1f9CnXzld6AD0Jk+2Y0OOcjwlehon+anfLYpRRbFEXxWIy9vta94W6eew3CRPFS
zebRUipyVNJng+bqmJN9MVK3djB0qTNt2827MQJD1y3IizLLPFjNta1M/XrJuF2J5b019JfG9Yyd
p2LXqakeWehpCNw+xv/bAiwjCFD6UNw/iEN2sFz6u7jsIRrVar6b1Wr2BydDFYqN19o27/qCftWR
VsWNNoRjQHNqGqR1jT6bqCeBJXnNsvNTLDPUZYvJMtVFIMLK2WVZ6UEdNdGHhga3lMqNDS7ZBxvn
YqV1YDfVcLROyWQRsu2aCScAFBBDb27HkgFmdjGia3R7ZgnpKcNNCAAbc5BY6RzMaVxfF864n4vw
tSgnXHowLta6AwVtMni31m36YTslt7AwXdZWGW4i05h3Nr1y+6o2Nxmu9SB27HzjAgT2eR4u2zJt
XlvXopxWgSkVbitG9kus0J5s0alC6HRUfTbr3mZSSpxihPkvYCbqjdNoe6p5r1KYHsRjUnfLPZmQ
OozEVQgW5BAPw4+MbPYmrnvjoMPIWVk1nuZsispdXJbLwzIWvDbjrGwsQgW+wnDvRzTgkhEUeypd
WUprLtYsi1bR3DuE3nJUEvpSXI37TZhhhC/CAIjhnas49hWxMha/AxZ+5v9zPcT3pc4+PqPrd0P+
m5xfrLSr1Og/7IaCtIJehO3k4uuYNRrMyCRPvpbH5z7BhhIuapBVidjW9XLEYnlFqj3AJnYWgIXW
RgrfWUejoBy5PXlW+uGSusi7EEGCoh70XMVC2rSIELvzmp4ptrFLg+1CHR+1IXurMuWct8ldRuJs
pbJ8XKctlSGtWX/mONgicmHkGk38l4nJl4SIF4y5+lJTRe2LITmF3kAiQFNFMDZtuKrCjBAafs50
SqPHJs5JoocvNpcpX+ejS9P1FwjBF8ugYyXuT/W3SaAvPkLAUGtKljOqkfNHdEksMAkWAF1RLota
q4GSJ9caLWYk17Nj3jKJmJypliJ4gGna5+R2O2cIr9xwLrZqMh8wHnoy8OmnVvlETc5pKtmh2HOB
QksHNC/ooem0IxL3D6V2v8aJ66ONgkJx+y7s0k88MZtuqPptRyl0V/Nfx0p5VFOVxvhjkXJXGRwM
8tmbN6TvNMlK5osKa83ZA4GU7xo3WnV2eyDmxc0t4+UpuKmnSD/Twvs5oatlo+vmpwFB2McddJek
Ef8zD3BRQDdrc803gbsSPSFeyOT2ygS2TyZ6I5h0sHLYh8WqitVQE1xtXD/0xifN4IuDnqL1JD1m
qFZbo+hBV4EncEJMi5jVVbqF5BCjGRx4XhltrVijd841ThguHtpx5DraAZ9V6uZcJ94VSjPmIoIk
g4Ib00ktDbNMsYUkx71UT9e2NhY+tws2GSCCN+Av0X4WfC/kfO4K0fCjuSUWXOZOlgoJpXOGnB7a
vWPEh3FOv2LNSjbR6N7MWrqtlm3nwZFwty3AJ226cpXsPs4FTijTLFa4w7ZpKmBHOAwyxvJuuOPG
HqN3106u2B/hoAzVmBereSPTJzujR9qNa1W0Rz4+99GMrMb97VGrHfINFOd17drdGRGsJ5ibos+C
0DXqS2m3BZCBEtzQOjEtTXmKRVWpK8T6rj1ghRkLdK9RuAKuvFDmy8yrU6pWogRmiKkiAj+fUEye
HSoID/6UgXLnzrldvIgLfaVsFCfFCJ0p4yYxKdUpsiEIRfUM1W5Zl65g3TdHGvXL6YPRlnejyc4K
k8NXk7ZPZkLnR8HgpYSw8ykZ28eO+Ubnx3lKKJePHVy/cULCkrmrW2WZSX3gKDRfQRjhOJmZC1UO
to4jjddPvnbM5oOHAdeLr5oWfHNem8HUOyfRJzfe4FxBmvX8skvfNG8OEPWvqCxhuqnqd84W+FRs
9bLSfeiSxDz0g/q50GO/XVKVyJJwd6YYzoS6KDCJcbpylfCZa8aAYOyPdix2Bg0dK4CjINtZyZhN
fqtnYl325K+sohp3PHevvBH30Gxx2FldtxsEn+hU5xuC6VhlZg4pXsPN1C22D+90W+tMu56WvWZN
sjLjm6ymotGa/XEy9lYLjcBzxUnpygaJsr8prPQHzFicBBoptjk5VZF6soA956U4mfqNjVRHwXXQ
tkp0EGr1lI3Rvo+Tl97pH2qvwj2zqGtqmifbucMstGLuPc2N/prUlJF0Ck/GItovVKPt0yEnEZs+
xPJqT1FDuI77mhLEQnk1i0o8FYuIIEakx4kK86ADDEXp4HI9ipkUka0910LFzpNdxrF8y2qXZBzc
rmL2XnKroqw5fipGNNC/L/TfF3qDZf1/vtCfQZD/u8im/FO/Xeh1ePYe3HrT0eivZFH4y4Ve+4dJ
3wcGVx1jO7Sj3y/0MKDJS7B2MR3LMLHAIgP8tmMBne85OjeV79u87ED6C+4Dw/k/7gMTiKJk52N1
MF3j24Lzy4XepCK0NMIZQG3OCnWXCAGux22y6zTMqT3rLpjWn0L2wYiU+XbkjFDYrQM/Dn2L8LcX
EsxKsumh7WsIvBVpB2zVnqkeB9hkdjFxSemCZdhxu3qpoogar03sRjcasLhr8vQuDnumUUdjkMk6
G5jXvPzITS/154H2DDN0Xxz6x9cuEjtg4f4F3t1u1Nl1G5Y4J2NvrJtSIdTBgmURzPbYza9lkwtD
Tf5YKgThilb9TOrua1z0H64Cwq0asnjV6tNd4U6o05P5wjT31C6m7ZPfAuljQ45e0KzteT6CIL21
NcqXppKasClMA8diLp/C7ssKWTeIpftoBQxknSckENTED0Pc+0Xc0jBSGR9q9mzN57iz5UWZ8tSx
pX3DkxTUvqX8GeD2inDhVPhlbBD8ro153PP46b03LTFDsU6mtmDwFDwZpzLbMbE0AKOYMnpzqtdq
yGnLCm1ad7qbbygoxcamCzKVdkIwYY7G/sLDHBj1krcXURkpqGQOjhqfn693uEO7Fs9H3ACALspM
94vGfq4WUFTjkI1rszXhz1ZMj71cskDbKdahF1pb2xnnC+9NJGAwtEGKqSEmBnOgMJruxsxMrkNL
TYPRG7pDHAlnO7XouCWdLF3QAFDC2m9g2M+GL90DcojyMKwaaHY7NhDvAtwM44BH9EVynLUGG2TC
M3KHMvYJd5b+t2YEOVXzVm0luU8duhV76PzsGpAqNCJqPqWHydrTSnNL+QcLKdFZWzjFn8VECYs1
k52lVA+A51Jh16JNjnpenpcudd3YRRN1F6omvxuVSa2Ew+0bWk89veY4FCK0SslGv+Qh3CHFdhZZ
+d5V2uPoVCNNL0O7hbXIlkl1jW3d2/maF89kv299JaZDddccf4HhNLZcERVkhaXApeLVzImua76r
BZMtGwToBJIGHRUtK3L07XWIQZUTjZRMkJZD/s5nLjq0UA5245KV/TpOXU6YyXDxrQgC/195Uc07
V9P0S8U2iVnJ6Y49V4T2aNQoUOp0D1+IYJGKlRkeU8aM0jzOCvEZdQlBiHljBTNiolqhe1Gi5inH
KOyHrkcTF9vVtSiqyk9VhxXVnD5qZUXUqkteZ28h8oEl9Wpm94JwhRC9DJek7F3fsnMZnnWavTfY
n4xrr4MaQil1Y6yzyteY9t3KKpMXQ0kPuZk/T/bobI1OsVfYS+RDxLvmV7EfMu+LjlD82RKpUrj3
jHvnRosP5GOkJPW/7J3XbtzY2m1f5X8BGszh8lQOUpWyJd8Qliwxp8WwSD79GUtuu2132PB9AxsN
7HaXS1UiF78w55jVianHi+kGH4dcQ3MhxqtuFv7eF2JXze1tOwf3JHyF+GhBJzS9IjAD8gYfMW0t
ht3LtByhthTlUfKgFn58E+mCALUILUSfW82RXBuesDjHyfDaMUQ/ZF549i15qY2spycr8LlTyLYo
udgWU0Lco10GyTOosPKTm3XpDthrsvDsHo2ugomTIOCwWKlI8cQbFbRUIYXel2t4iVdgtW5dttHb
VAHKoxJU+aig5ZnClxN32i0nrXM3tYKbh5WMrgscC4uW2+W6VzfPrHDoQr1ppxDpaZgEW72tk5tc
AdThHw/wyIGqtwqvrjljsK0Vcn1W8PX0HcOugOyjQrOHCtIOJNZeBwrc7grnrVUo98ye9zhMzzqM
9wLWu9MDobekbm4tBYK3FBI+s4HDx54DJl4B42lYqp3JHpvpBLY5hZUPFWDeVKh5n+XGLi64a00F
os8Vkt6N1QxKYer1JjS2suSTOgpiHw9we3oFtmdvigRHwe4bhb0vC3AsHFP9f6XOH46dfxVabvPX
svwbNcnPOkvfQUn5NUnxfQnxfXVhfiBTzeZ/WGZM5CbfKx0LCYqu4yb7Jif5063DH1m+okvxDzTG
yLZ/p9Ih/PjX1YUN11FHz2lykNrqr/tJAF5OrWeOvR+czUKASXdQiJEFr/yFllbG5tqJizb8xHpW
XJMljxuxUMbEGYciD+wLUQYZnXH2nLFTnZiLIIaLNpNts0SrrXxUXsyZdGGrWfdDcM1E/g2weoJ6
D/5eb241qOdRmzCWbbY6NHQfKvpYazstyZ8dAYZfaaaiVF5nCqTuUhww2t55OsktTPYXFsx1YPyo
1aCw40o6mQx7EhPkjFSg9l6fdpMxcOZoxnNacEggGN0L33usobzPQr7Q+l3iDs0dlSfgPgV4/tGM
ARl0qlcx+atMYePTAIA8nrjmPLMHxhRQLs3B2DXQ5geFnZcdAHp0ngI7LVB63fL5tCWhj201f2Q5
cukrjL1MAdoLhbY3YdzHNsERMKY2QuHvDRF56xQiPlGyR+Q4A5pFYPkkTT4V0PP7NGXAWZ1HhdXX
0JFuCoXaJ1pkLxV8/52KbeCvWOnSHkDjA+mvFa6fMX+xJFMFA8V0XTjZvgWmscDD92UqBn+hK+y/
qEJ0JHgSrGj6jL8YOKFhvHUmICUyA2Q3XaRsQpmQMIMa3oMFVMRApcIGJhU7MJI/MJNDUGilfOT3
eeycT3PhXtpkMwEFgF+fHkAO3koVaCCwKbcrbAhNfKGZZU/Hju4xWtR5XsVY97ssAAkQOd4+b32b
5naItwlCwJFoiya4NLE8HrysGraQIKs930utr20dcCRBRcFtCMo/QN9rjKg9KjYfgzPZ2xruSb7K
exhAxlQhBPRKYV54ed5/9CtAQEA89cf/Or/3zk+xdf6587uFkfb5/5b5Z/H5r4eieun39s/4YOo+
61e2pvRxLuflD4ciK1kORevdn/8jKI9YWt92Lba8X9vGH9o/9wPrAMvkuNQt10C09zuHom38pf2D
cE8DytnsYF8gcu3nQ9EzIiPPhUPMFF6lhdnBLzHkNK1H2p0F6SXGXobZhuiFPbYzEwJGGT8VgafO
xo0fdNsqp9zqm33qaJwZ1FQ2I7E89aqLPPEqcnDFw6Tbj37AZPYdjIp3az1M2Z0rQvB4CBYQHyF4
qlLveowsosXErC71HL4gImlH6ji/9BOEtWEVzPbA5Y91PCPfnbyhLga/F1CsIGk3IpZjPjldIZs7
kuyrHSqhYqWF9mmcYJFNmMY5IFpnFY+knQ2Dfj8YyJDTaS3NDqomni7SxCjbHOG8uHxOTnv+3iZA
zkMpBapsxFWGJeslSAJ/PYXkAPUFmFZ4RXtWfeEezArRJ3BfK47ELePa/OgowHSoUNOhgk7bIr1P
FIZaU0BqEaXnigqOLQl6i5nxudvfiaSh3oVm7XrRuVZ4a8x8F/aYNEBZQF/Dzu5XpcJhS1tvloGY
OLGb/pIQJUgAgFM3cEXUSXBw4GoX6XATUPQh5k+dxSyNnacg3BM07gEqd1TOp9nE2Nh7QOb6VDzm
ELxD9LwIpuoLAg2g3OlgvqOsB+0C+BumawYVBHtZrbDguenioHKvMwUMtyTocJOstEbBxKVWvTQK
L27q7cmEN27DHa/0AoJccjby/mgpMDlU5SOZlRNvCrM8QbfiK4y5Pkz92kbe3pZMx1NUAo116TmY
NDsegstG4dCBFa2yWsO7rV1lCpg+A5DltwdqDWXbjemal0GdV2sxDSOqeZDr5jt8XWHYcwVkTzOk
fzmM9jZq70YFbR/S8jKyw0+Twrnnmr+NWgDvTqc/2BDfEfR7KyPnaaBg8D5UeHqyCwNK/AwtHiHz
F6Hw8YUCyYetuyewHIArjPmub8/Je9Zz9Z77TIRqtvPY0QZZ/UDX2zBFADwHaO6y7LP6kHbBU5Xp
N50jvvj1tBTkBtfkB0c0fzV5wgG5woJ84Yqc4aSqDmPansoqvxpUEDGUxZ4qm3Bil5Ti2dUg5KTS
srfJe4qxDcPi1nTny6gR7RZqkSRZFQqrtFzel2dILrbSm9v15MW0ltaVcJ5aGsVF0Qf3ZWAsIEwe
hcqPLzpnL2NikMiM72eo7kMi0Sj118BIELd3KxPEHJEwSDvCJryy2u6CrA8kU353rPrkxjO8ZThF
t3ONkdMVdEMxEdULU8CcsykvtkFk4C2c8mRjZe42JwB218CsXphm7K+rdwtuz5VT1ugqSwM5WjEX
V/6oPXp2+VYJ/QsA42wJjOhhLqMLx8hUv8XU2lF8Al2EHnuK+tnvNWbHWXyZjD7HhK5fFUBKGB81
xpn+5dWCZbnWZ/nat0r25o43DG3qvVUOn4yq2GCZeZwSDydFswnaAnjDyP3i261N1xR9LEe0uJks
N7U/bVm1rvRaXAVJftRdnBNtzfy6CU+p1yWrxM12ZDQGB09z7v0+xJTLeNsC/GTojrlFcUAP3BiQ
s8d0XDeaeQmJuLryquCGrOrdmNvJsswHGvIcdlGNfAvlPgQhr1vxWRMEcq0N9r75HDcM/7upGxdu
ngPJrt6i4CWpvZu2s24yvhOeAyg2ojJfgBq7Ishro7Nb5QjLiOEIKdeGWSZLFGLbuGk8StKclWsH
gZG/zvezZuU40SF3IiKDTALV+mQ42ppRrvmFTjvHHG+UfccokFEgszBWvU+G08hKv/cF6C0WEKG2
ynzrGDOzVOKLT3o7w3woBAIWDD+RPW60uLk1k3DrzpNYErzbr8cEZSl85JcMjzgxCdZWOKhThqa5
jNgBcNXUt70zXmCtwu1kNcR2c9Zn9UlWdb6vDXmOuvFGn6o1ws9p47jesWqCHbRIeRfPU78BXvea
Bf0Iocm7Rv2Srud8tv7z8X1tL1Xl8c/11K4viFD70v21mFKv+15MWR+U+E3xiRiJ4M/7oZiyYRph
70MW9m1g/oc4DuiDShMAd2TpoI4ME5fBH7N0xuy6zsEAXOGbpO43Zum/uhVsH7RxEBAVREAjZopf
SqmuJwbLqxx51euHiCnSdFO12x++lL8xEX+FSvxpFuRT4MlgfBXA82doz+f9uV4zkKTi7mnrK0uC
XlAToxazdWyZpXUV66Khn6rcMbueq8T1T3Ece490XGZ27cMyXsZUJ+bBdGvcU9W+iceLhNm6ayXr
OSFqo+dynqb8KiTCJ6+0/dRy/TfVbafjO59iYz033s2YtLtwarDIFeOmTDpj5djNgaDqM9ja53zK
PmuMnPq63pNE9ogsn01wEnNztWvfzPde3DbgCsWb6D0eNolc5XSA26SxqTCwfS86R+6agROqJzMa
VnxjtUs+3mPk6ns9YORHgsuBfNrXvA1iNNwcSVPxGtYw1PyCcWOlj+QGtmIDe+eCECO58kul45Uc
RbWnP49tebBsrUAXVd4NBhsJ07wXI92SmXQfs2JqSUuRL61rHyZblJsmrS/LeJSroPGslZOEzjKs
xK1IOD48m3SAaLIuiwiHSdda17lkgDoP/aOWWptZ8uhgHkJen9m9pR7Jvj4RNOArK6Ah9tGTwl7X
wAwXFHzpztWZZSE7iZZjyvgvqam3DeJLmKLOH42iQniH5q7qtRtHaijjzfxOFgE1uZ89aY2widmt
94HRpae8k+SdaNmh1TCS6UZjK6/mRdS9WGm1YfpKqg+WSHtsWO4TxRTOpFuGDXDgKjIOwu/FqmNo
P3vOS50wUZMTaeye/eKrB5yfJm9+waMpsv151XTBHdaUNzuRS71JXpMGfZnRMsEziUcwRn9ZRcXV
YLbPRprqeAlRFEIJ2edJhpgMSG3iK1+LhfnfbjuqRE0PmAL3V+ix74eIyT61MkifWCjZ4200ds2q
8qJ+WYao7m0clwMThVl1u4Gf3prAhlCys64Jho8ZAeRQBty3NA0+8fxXlD1wBdYI/lojQ+uSISFP
jzSpl5wr99HU3Ja2U5OSYJ2j3PNWcRVLLtbx05DmXD2yAY8o+T48b34C2gy6gnkIReOrbUh3Mwj9
PotyVtyA+0bNJywo6pA+aW+d5j+RJMlAks2TZxkIWscQjwApim5FlpjF2qZ+hx5IWzQhRkzUjtBT
mjsnwmfLnIarHLvqfaZbwd6Zx/TKteRd05j09PVrgS8pyeoc9mX9xegaymD0TSjbEWJlEl+pSNKP
tt2tcpelXus+lMF63E7xlF4UFes7TbsRfRqoyU3ekBVY4E8dgG5i361WIqirZZs7tA9cv5FVA5Rg
xQaLjdkWaciENdbcmwrxeGor7zH2nddEH5sFx1qDoNLYFDQrQzwdGQ9+1sb+KLsEfmb/FPXkmXHm
3IjSWEOdvKkMa8+W44ZQxZWrRQ+Elj21cLArQz8GMrqCQnA1EWo8t91mRhtJFMAX9vw5coZ0lbVd
tiYrcJlBg/RaQYoCAjFRDycPuJRoMnzMuJIQ2EqWGyg8Ul9D5qedp048FEmQrUOzfW0JeDCb8aPW
vjo9V+LgehvLJqR0GUKzwiYUSoaCaT9p2pomxXvwomGkOxHmMo1onh2/7upTZlmPRWUDlpxJSRjK
CC92qpKnssqume6TUrvtpkos/ZzCzLeKh6xpN6KTj1LmD22jPeE/sq713pmveOA1G5E3nxvT2MfC
+jKG/rmZp1OQB9GqLBBAOcjFVkTR+eQyUS1TBhPdVfjTZVTEt0kUPSNU1ZYy6/OjQGPA8K6DdVEi
UQSD/VSa/BZlfJckVboKLO3QD+1jb1QzCjWr2ISKX1Lz8xF/ybNnGWScAYSMu6u2r+ezxu7rzk1R
+00Tu6FIkC7BXd5+DIO2X9mdV+y4m/1Vk3cr2x2GHV233CJqqsD/VROjfD1meoZdOOoQe6LecnYy
D4wds8Er6LQ3rc2SxjW26aAGflpItAny49k17hhdPgpjvI0c4e5hCz2qndXCjubwK5T6HxFMjFt+
cOi/P3RBuvjqicuaDJjyzw9dN+9r0zeb/qryJUqmc+rfufzUDtPX9H8xL36uItR7MTlnsGOoIENG
RmqK/cM+vm0rUr9ppK/8cB1mD820ibX/ga34X2+h/vyHt4CnmOeyz+VVzY1Jxs4iHj7Z9e2/lyp/
+yYBg3uP2sqg1fv5Tdo4y8a0lPLKEndNdTFqJH/s//0t/vpr4av64S0UcuWHz9Eh/osMe5RXtn9b
NJu5gPIoz6X3OZ3+xzsh0vjlAvj5ndRP8sM75fHgFG7Hh2kmqAclKmfz0BdobliDHmZ0Af/+wdQP
/nORZ/iIQhwg35YFolP9OD+8XRel4yw6QzJRfjRo0zz3LoqPU/Hf7PaPXuNfZ7f7on4Vyef8b3qN
Hwa3Bg2FAgVhj3vfWHEffhvcGu4HQ8cVzWHwTk3nVd+MODQoFhobin9e+HXc+023Y35wMUb7ns0m
DODI7xlxMPb8dI042IMc2zEZAnMqqbbjl3PCixtRjlozXY5WDbDZyJjzXtYeUIo3fZ6J/8Bkonc8
3S2E/POucjOmEJTLKSeYi6YlNJHX+bjvdsIYvGlhueZLpKMFrILwM7i4WwZ9xdWUsVRtZtfcgC2I
qHf19rJy3be49nniFiacgFJtdvveIiECAjYRJx6QZcO5mJG47bUy7yj3kZdPy9HFbJOmkTjVuoHT
AdUolofsiKOtXLW1nDbCoZrtyONY5KDYlpDfGAxhODrZw3TInOTCr7rwSNJgtsm0ADEeyzpiJk2X
4HIC2zZj4MUrS82wG2q8pZF59aoZeSI2fg8ZzNaeck7v2h3Lgxf3d8Rn6BQ7SCuRcNbLKJi0k0jd
F1nyoG8qz9giKnmb0/QTOk3clPZgFIzDwZbWdjrdI08O8RPEjBcsNjRx+tpFs/lE2Yt1I++qzeDm
zcprc2agbGPggAZlcMRWaqxdqWsHux71CwdlxDaBCreA4uBeCEYLPizuWzohhmvTnVYDfa9sdCy6
X117LjpzSHZwR3XbpTyli5szJLO2Ltn5TZl2YcTAG7wJ+srTUEd4ZHQrQ/cxGd2WUPGJMnkWwhXn
mN/dQN59cjkZ1OwLLTLUIDLlb2J8FWiwPVHgYBRiE+Xs624y7zSzz5M9cpj5IIYyOCfYTynzZh8t
K4MXKzwHyFqRlSLQGIwguzBx+IC8mG9tFEnj6v2Q/A/toMYa/zwp2ZfT31gI1Wu+TUkM54NrMyCB
mECe0k8WQgN0UaBDbfB1yzMAG/55crFychnMeq5n8cxhQf59SmI5gKSZN/yR1fjbe/hfV04g2AJL
/QygkIh7sn55mFpxXoMR8bpTkbkkBFV5shqrgl7yGpLejGo7CeJwdtd2POgxbtQBIZpjdKaBO9Wc
Srm0p4TVSuMnzXSGCuCgdPaB+qDRMUa3IbDcyWNrC7USs+LCtvMEFKwWpoPJNiioSjJa3d6+8vo+
EOXK0+uBfDHHke24NLQmbT97M3kFM65jQg5Qc49iCFoa8Vhs07YOLuNGj/fRqIRZUtr3TcXexcfa
2/RVho4nSxktNHI4kmI3bfD9lScvz/ob6LvyWS8dpwa+EEfPgy3GTd6yEGHwW9HKVsyBNcfeYMSP
8acZrIl8aU3XhmcSh9hX8pJAZXky0kENdOu3SuJeRLtuis+kqLfLvEPavowxSOxjJ+3uTHJdl3yD
zos/58F2iHPJBADmJwuQbY4C7QbFGGltygSY92RfYVEhc9rpOpxlrj6dBIyKTQbldGPXBops8oLU
OgrfIr+mbteEOs5gowbyGQSx+cmaWQTEM+HVi8zszWc0P86xb9poP7EKf7Sc1kIlaWJUqWlcZgJy
z32fvfCVlvsmcI1bo030fJnqEAFtiYvHIRzzNAGaXkWTk5ycpG23QZCLdToH/mlu6BQKtIHYCt/p
Q9H0ggI+v8Cs3T70BTFbbZCWYEAS89KyDDR+btxm+NbQcRlj414zENA2nH3tlZVY9QpRenXE18Im
ps0O2ENmoI+av2mARr1Jm6Rnvy6iw1glNj9b6mmEU7v6oUhaYKasIxhddRzhzeSX2zrCOEcOEopR
R1DBzWYQHnKhuQ+MNT5CATEvTM2vz/z44UbLQHW2lckCUAj9PM0x4EqozvsowRLBhjCl3a6nmxjq
02poZbOekn5cR8McblpQJdF/J+sfdSHT0n8+WY+v4m8UTgav+X6yetRwLqA/F9X21+PzW02IzBth
HVR9U6cecz3O4281Icfn+1DYALjPOarmwt9qQpuTFU+37kHuBQCHLuo35s+emv3+2TY4wHroT4kH
ouAB/8iY+Oe2wTPqiHSxuTt5rQehBLIFLI3YzFdeYwdbb/A/I/iVm0YJAeHmp7Z2KFq/V/LrxEyf
EhPT4DkOK9b5SFpq0rf6lP07pI3eI2ZUCHlVyvpUW1lyh8sHWEHMigpcglKJg539ZOUOh3gJirzW
Q87riH4cljiryYS4+jnedO9Xa+OgONzboVYAzjA6L2+fihgmBVGwUBkwDFm9i4JxY5bsdA5FQUrs
bTRT3DAlDlPGZUBgSUCNEEB5OJPGgW0sGbTpVssQR0slEBwy11jLsZm3OmmwD/MQ98YuCyZ3Xltt
P0WryQwQseY9liWq5lBDnmPXGg7LenYv+6mNiTE3K/c2cV3Cs/D4YWFCQbY1COHubjMrBw9DTEF+
Hk03NreNx/+fIiJEZ6nE6zXojFQsxrjy9tipLX39X/HzLrsxuTv++Ra9yj+/vIq/Nm7qVd9uUmW4
QFaDCB/IKjEWNNffb1JWQVQ2tkWH49BC0Vd/u0nRGhquZdN1B6CJf8U9GoYD6wpIo/ve0/3GTUop
9etd6nkODlCSEn2mIrZyffzY3A+THOzO9uS5Gwe20132sRpgRitKCgO9c2E06QsutJLBtXVndRhQ
B0sj8M+TbzitN+AZ7MWsCCwR4jtdMVkKL8rXiQifheK1jLla0PbljR3kEebtKtzKIbz0Feclrr3n
3kpu3WH+GCsSjKmYMGZtL8cqLnb0S/j36XQKRZCxQMnMuXnLe61kZ2BJk328MhV3JvX7dEmNdomK
7d5WbJoyi76kLQ9uoDW6PZ5jeMx0UHjzwdqYsa5vMJ9gEQd5M5rMYzHEAB1UPJxCUREjRXNpllbT
p3tdcXMkvihDkXQCxdTJFF2nR8aztjJ2voq8UykGT1jbdyIgbYczrLesdY8nEWE/vJ6kIG3EwL/Z
KZYPYUQPTvClqNBCm3Ba4P14Q/fY67AYavIhFvC5h0U/hfnCHfp44YzT66BDyTK8jWcxIQv0+CEy
CvocX1vm7PoXNpwhogF3qemdkSaeVFRjVImHCi5R309HMsY4j+aVAnnjH933YXZtKqBR5Lg3Pt9Q
mGCA1iqxkXl+EjCQ3ER/zsaZiB5mC2RKqHW2J+8LyEkpBCWzBqXUDaW9qXujBR7sHQ0GkeQzwdSe
9YeEHQWK9PQ4w2ZCUnGqYTVFCtrUQm8C1PVphOZUW/3FCN2pC9yNDu2ph/qUB2iDHAWCEnXkLWYF
hzJJJCER+lZX2CgeH5f8mi5k6tHwEoVtv+GwZV7Ox5FAp4gqazngFViQLVYK1ksHUDWnFOairD5Z
6E0txbAqp/Gz3WMm5CIHNRGVGQFP1YUx5F9CrshAWKyECIeDAXLo3YmhRfcFUzqakNi6c8BoRUkC
hCxsrgxddowVhnHlUXtirieFXVMkrsnyWXgF2UPa8SXNpYbDNgZfaRfmDTy1dVAX+OYV3KtVnC+e
h9HJ7AGftWAV9wSWWU8FcPxKIcLiKEsWc2ffkx4VX09SBPswYzRQee24tQdUVXovbQIxjHQ9KX9M
Ao2MfNEuuIAuQCZKGIfIy7oCD/b9gDGd0I8B/zGjbiwytyyw2HJqkfWQ2KniGwF6Cxy2PeyJRvZQ
q0AOpICkOI7KYDvVksRnxpSrTor8kKDrXRcDswSoBk/V4KBGmLnd8phLupQEzceEU0Izt5aET60i
PxhvfVwCiyqOz2M8f0HqB/ky8lcJyjIdaGufFSx4wZ2sS9eP0V9E2JG902jbC/yHy1n3PyZOiXkL
a3Xnxxu36/YJihkB3yUfq6s86TdYm0nS1tpjVbdIf4buYMdldMrxh2U2D9PJMrY4Hk5tKq7Gpr8P
smAnLHL1olA+s3F9IF36sdA9drEhs4jcYg7TzDPe3eTBiVn1VjOWDd8yiAYYcJvin1pmcX6hS6Az
6AWWCIiQ7HUOsZpwQcxGWwsre5vm5r5OvYe6SS5zYT9jAsXCXnjYNoOD20P2shuETFbDEGXqIk3R
4p+BMt34ZnnBLw+jaDpLBDTefTEMkjvEQrUn/Xjd+CSqzZpN+kGAhwjpS9VxM03cet7M54xNhMgD
HouYlM+eU8A0DuC0j2HfXWQOy0esfx0aNMCBCAQDhnXw1HqP4ZpdYPINs+5Vo6KDJ9akm64PsBXV
+qkMA209EP6yM0sDxGH4WZuKizib77UJxY8xToAbmvR2qscRIbLc1S0kGTyg2cqLmheS7hBXCyZs
VVHes389xnX9ksxE/ESmXtwRCbvTSpMQCeAPIVaxRe6Fm6knA88PfY4NufeKOlyFbs+mkqdD3b0E
psR2UuRca21BM77I9UgTB6Er6xxhkOXaRny5acOuDT6ZRdt5l/9VRO8VkcHk958roovP2etf6yH1
mu/1kPkBVyd2CNyk9ASq3vheD1l4U23Q0wSLKF7nD4NsXKZIZXTPxIBKDfWDaMbyP7hMg+gwcLRa
eKuC32larL9mhnouYGv+vU6TBkr9l2UHI1zK46Z0ztmQR0ctKprwdhyzstm5ZpJtpYo/ntTTldyh
FQi1fG8LJAaOikvOQlQRxUSEspQqTTnNSYhUZqUFxloqGAAJvoNkRKJDhj5bHjQedZceTxBaDX3j
FhFzV0BAwey/OunAinOCRoWBc8ZMEEfwl+UxJf1He48BMtP+piMZyByICMpVWFCrYoMkQIKcHKGZ
1bg0o5tGBQzpKmqoNdnjl6QPdbNxCtrgFTgVeWL+eW78PZvGW/hGW430Ik3FGJVhdWzINRIq4Ii8
LrS40dIn+agwnfsoIQqJPUDMgMmqGZVET4wq9jzt1qkePsFR+dzHBCpNA9F/WUfIUquSUnAcoh9G
EyEELAOkgsdGiR8zYWK+yE8N7ABEkNFlQ46TIM+pAw7Z8UUDTyEvtZIIOsP6UKgQqKLqdg6pUFCY
8c0TExWgqlxnwAe8mggpy5sOM5lSvlCPSkKm4i7d9yp2qlEBVMFEtKWKpKpVOFUKjZzx1FNGq8gQ
plo6lpg30YQPLKrjFyINxXLCzrcqjWkLSPWQqyAs5JynssZcK1VIFrBtYNGxvbbEG8WCvnNVoBYz
bPYCDvJcz3jTVOgWaq1zo2K4ZhXINXjNna8iujSyuoCfXucUqsGAV9YmRjrtiPVyVF0yqqivqZwP
PtlfHqOrdToQB8ZW/MkmHwzI16dRn68blt/Mtp9kDfdFkCiGPQ7GksyAErbpqfCmXdYSPyZsFURG
Itmoosk0w2FMXkeblNSyKcbCy5h0Q5jzy0R/j61SKBRm4rbPAw3LBcNJxvaFsnV0SMLyFcBx5LyM
8XcQHnCAkNyIG2TA1uTxaPZAXxWcBivdpHAAaMuLM/WNzzhQsDkSiFB2BFNreInx6kL5Lus43k2D
fp65Ga4nP/W2mebDMWSCR16sebCs1FrCB+ERyWvmpNbOaRRZBKbr1drialsIp7Eg1hsTLhUrGfeo
Xqgpmyo5+P44M3xw5BpOS4eMDJSVPgwbCczF16Mz/B2W9qZxaRHfuqCcu8aoFa3aPD01bo183PjI
jHe6FYaWPZUGynOzgXFosVAwQkH2eccFKVwrA4kRLeitOqonBP8WE9sF7geuG5OMOq8k3sWQ/XCC
G0X2SgVDWJsuMxNoUYBeh/B6GDw5QhYzaZ9Fr20NUGaLgXTT0kWbbDv+QcPKcTCi3F9VSl4LsUR8
MhmuLADJyXUfDe7CJh4QK7cHzgb3wEarc0ho3ay/NIb5mBZFiEiY/1YK6W/LGeFzluXOtipASbZa
qjO4aKqFYarfb+gWi9kOj00Qb3MpT9QQ6VKS+5QG4jqWfGpdc8gOro7GZG2TAoB6FYC5SGfBvDPw
l2MMmsjye35DM5glZp8Q+KZNURbXsZPYgJBhW8EDO/pRH9Fx6dvEyZ70QWx7rb2dM+oWvCEI/QiM
KY3ssu0Fjjc8D0T3iW1Y1zu3b98iK4xXDhOvFXhUblh0NualPxZ3RZvmF0E8XJV8o+ywAHUWFULc
iNKa+fTHyS030q4BBfivY2WiLK+KQ5dJJpvGuPVc+6si4b+Fkcqm+LcKoW1f/26wyau+1QiAwAkV
113itkxutV8gFdiN2KMy+fgjPPxPYS0lhaJV6khvGbVQPnwbbAYfPN1z+RspFKDy/p5LCavnrzMT
B6cTIxsqEluHjPFLjTD0wajVlSvPk7Rabx0PYYpyzAM0E01JDAEnPHYzdPn1lA5D9mD0Bp5E5rFJ
t6/nRIXeunN20SJQmtfpaHYzhOq6rJSD23KdF2U0Z+dck7K47iLBEcd6Zze6RhS8BXphdLdT26Io
7RJYFKuQ/OBgldeVdIlM09TssHEjcwbFnUm65blClLLw+mg01oUZiXmNyQtLZui/LxkyY9vrGVxi
MUS2c58bkLcZMghytQ0OnNK1u12tDdNutKY+fZPK0R+9m/ujKEXiAv2c1lS5/7XQhwOgiADBOxxg
qqdhreUspkjq5Pkcs7vXCzpgeADO86BABbOiDXTv4AGniWxICPGbKzWsE6X/RqVDr1dExdojSGFL
KhNtwgDPgPAueYwjkFS+OlSjpCBmu8NfyUajfCZwL+OUVoCEQrEShKIm9EouYCiSAinR1CGKrmAo
zoKriAu1Yi/YisKQKx6DX5evmTc7W0uxGvBz2tu26pK1/k5yiFDa206fX2WK80D7iMAD8kPRNHLt
KxpE5FuvseJDOCLjslC29yKyYX5WTDMYcjzXiizhznm/5Onqb2Mh3jwZhjCAKJE8PFLtSio+Rd6R
VV6RR3GASZ+uTC1O8XVAtIgU2yIDcpEo2gU1M0e+ImAEioUhFRWjVf0/XFI4a4qZIXvQHeUMR6Pw
rcdckTUixdgQirYRSiY/GIEAGysWR6+oHIw8mmsEqGzxFbPDU/SOeTIaxNOK6cF2CGPXO+djqKAl
KvbHaHg9LRew4lCRQYwczhHz8WL3X2P1tbFi8fwvx2bV/t//K6PX/LX9m/6Kl34/O1kK0VjRhpjW
X9ftAUt4x/awLOAI+GEpZH/ALYCeEJ0XnY9qor6fneQ2sy/iWHUgtRKl4P5Of0Xj99NOCIaQrqu2
zyP1Etyn+vMfpGQp1A9flkF66ov1DB4jjLd28/GHL+bq64bpx2gztI5/8y4IkbBkODaiKOeXlX4T
0pY5s5OeuipN8lXl62W8wJroL0PLzNap1RKfTG1LRKZfgqKL02U+h8eB9uNGr+PrPAGj7sTJhdR1
eidDc2C198wdjERf6lG8l2ax7wc8WkOwY/x5oc/yup3My2aujqOwzqy6DnqaIa0d8FinehNsPHW8
kLo2kQ0cfCE+ELYQwTKLtCOREkv0G643gb/QxQRPOhuZEiGvHz344xNTMPcgtbnYhnL0Vp3WAgwI
TLbt/cxTI+tK5FWm/RBagbf1cuf/s3cmy3Eb2xb9lzfHDSDRD96kUH3DKvaiJgiKpND3Pb7+rZSv
bYqWpfAbe+J7IygJrKqszDzn7L2XTkuDzGEFPd8mUpPQWoVdVaaY1Cra+zAhSc4jHHcbuGRc7jSd
4DJuls6VNTUTVx1iOjGXOyFBMtBfnIdZVBa2CJFuagX/4EYrBoTEXqlx6FZeZ2bt5GNHxXLrVEI5
8e+XyybCWSfV1YWSbxxuW0uroyZhME+mq+1EoGSMZN8x93YuPK/RP5tTQCSMmIq+4BjVbwq7NsdL
qMkOWjC5B7e27D0K/OAJMZzx2Nsh48R0Qs3T5p2xc1A7AAQU5jBvHU5krK9D494XBT1Bi2Haioxf
YynKMQRTTPhvFQQTBCGzv3K7DsI17/mRyMrmuaHQHidCzabREQu3inYKUvgVA9hoEYCFuMFOsY/V
KV25hebeoAWAKhiTnOtMLvqRMkOjkRjLvtAYdEaPTmb2Rz66fmlV0bzCTSgoxLnXj+kY7S1oESub
kmHTtqnm5S7+4CbsBVlJVbOx9H47GDnC/1E01wGXfE6Y7AR550SGZr7O6ujaKMydE3Z0wa10W0Rg
FgJdvTTucNtqdn+PHNz5igeF3kCytIbR+lpE3dLMoI37lXanKt06sFo4DUWycpVsnTjc2Ecql8Yq
X5umfcuj+m2Kp4cqVmBv9nt3zNZsIGjv5o0xqqfJ6Ze6226ZJx9nLBZB3X9RzY4SXlmng8b5Q9hs
N70QOcC59eKrnbYcrFTnFCdNPjH7J9OKvqSzZaysJmn2VG/MIYb5KDKx0wNxsspuSfrTU8nHhyOQ
O71jr/zeWkMJ2DIyeSL7ahVkYDwqtVqALUdO0eQqFnCCErSJYsC2L7zGG5Os/eUYzQG1uk8MZ69G
p9CwCB70xXWb5s1pqNpDIEYWM5m6aTXCVPc5G51sOrh8idSCLCG3Xo4E/zqljgu6eIQFjv3bvu1E
cJ1X5RGxjtcL95h1/XXo0ikQ5Ur4JF8HwUiUU8KwKoSR3tXgvYJavUqU5HORaJ/LJNtHTYKH1tnT
mb3GG42bGQNMmp5MI/aqtJoOs21zF+OS4JDAWyX2tnNpy9dUpSFIsmke9k4xT7tqzvM9GdKv2YSp
VAlxN04B4zZz1BP63eXGb3A1zJNSrX++8/5ABsokEaUwunH6Zzr/+/3+Hk4agxVyla6KKhH0hN0J
v8GULDPSnY9tpg9LuydQl+ket6b5TSur5rqqEvXOAei2KMbxpqvjozr6y8S1H9WxJYvL+poncbAs
S8w1EEwAzkzquphZ06lPgJNvNt7AhZSmOZIq22m3pF5+IQm886K4eRBIU1eI/AFOqDhu0twbKq8Z
d1qZ0J3w840W1xvBHDBl0tNk9uuUZrd4vfZMyA5zk+6rjsyKsjg6jXA37TARcjhFWzGGptcA7LB8
0hJDI94E9CiXjdrcGFOneWVo7dXQ5XuNMADfl4b/ox7v46g3wM7R/hGTOBsRANrKshCjRsmpL+er
sIl3yQBMD1PKMmIE5EsuGEZU/M1MQNDerMygPKYB4bt2Ls5ROhxIBdxyrmH/KgmzLqZmXcT1OYnT
GxT9tCDyPl1ahNJ5esllr64vkd70y2ymYVgTAGBMBlrQMXp2SdiOehbTyAJ1aIAlSSXDhzdamTGx
0p7ibFpmOrwO19gO7EN6U7wWrn1UK7VHTaq8+hqxcqWoFhTi5OelmbZTSrmXtcfItj4JlUg4lQY8
8ahPUyY0L26mBGFdcNZnU1uSeiOz5WMHLFrcPRQkDRwYB9WnlJvs7udLFf3gx4uIhT8HfgH5FQ7h
ht8vVJoSA0K6jBzgLlrq8b4W/01m+luXBlemd0/gnyRvTqOPjDyHktORwp33Vx3dQvXsuAHjJisG
c3yOumgblTf1gP+9Tr3IwqAdr37+qihAf/FU+brfXbC6MmlLQ1eUkzrltwi2ZdJEfsup+InqblqE
OBa91jEfLV/fMZVPwF4TL5MCXfNUERVeXs+fCsU+Rq2hetjr1qk7aF+c0LCXmRrfW042LIOEeXJq
PFl+Mu61VLdALM55sepmO185pVIttRLzj51P064bbf1LkYPhpYmtr6IoeklZq6tKtcIlO/C0bInW
8CipbzsjnWn0Jfd0rsQuC3CQTu0rTaEth9JdU9drqxnAJ5vxVscATqOZG0o65PlmmjvVqwijXtaD
SQkVjTcizJFRR7Cz9MBaEI16YNF/rZqBiLwy2tUGoOHBuBtnnGhqsjdbMlFrGYgT+TqivxbOuNWZ
u2SOD3SGl/nki6WeqvjK/IRdVn3s1Yk/HGcnJxw3eT2sen9mBaurpA0y4IPlsogzh5yE2FnWqX8q
MZQTr7PVCmv2nGC8DS3CmMdSuetaUAiELaoeI68NiZCo2Lvi2QqqU61m1xXKJzR77aLR9r1JjGxv
6lub5uKy1LT7fAq3o0+KeV93V6XFGUmE2Y667s2p1I4YM8ynprEJSuNoD/+lvP7tEv/mIf5T4vXX
NS4v4u9W22BwxRBkM53iY34JrpR1dageYH3vIJwfHY4e70UMC5qUp/zzcPj5Wqdp86MvGPpgzUL1
jdDs+4cjfXLyhKyiU7kkMvAovHKNG147KI/2GiLg/Vnxjo/9KmaM8sx/0qvpqC720dq/0oHe/uK3
+b6w+e2d0NHkmHgwKKPMD2K3SR3ocWtxeBWqF/K3wBU81v1vpe/fvt3f71l/fcYHqc5cZ50ShoRs
FNVbUENLv/75O/rD12Az87JlH40W1/dvaDYyOgZVxeGtXCqX74PJnfO3HerfrqekAf59+X56fn37
UTaT/Ft/VO6QDNmQ0XsJInWZQr6bjKr/wV5D7U7Fhu7L4ke/K8Xs/9jU0kTIcdSAzHvf9bT+A98b
lSd/Qdcog//RZBSZ1HffN/ScDgJ+fP7wwnHROfKXeP9lV5idNyRxBGffzShnCaRvG9wgKRn1eps+
lmTWl2PrLmdS7G0ZZ59nAUd3t1XJuTdk4P3gmuyMA6YeOz2MOHsWsxvjZu/pjpKXL/frRSsj9FGH
PYDvI/wsct0V9NEXrStJiHO6q7YLvF7rnywS+TWS+U0Z0R8F4WfLBQ9M8fDAUa5uc25vQTb4nu2b
/ZJfu1h3pP4XEYEtgSaeiPHIl5VEAzQ6kIBBsYw1IKGv/dC8oRsllFsiBZyCFCOqrNsiCcmDyp9n
dXhQZNyeK4EEhUlFl8AoMCWsoCMUHFs0rMXGLr44EA1CyAaZqUIlGHiJncQeNKV2QSO1jFPyhuEi
xBKQENcmmXWRuMBPvai5jhQmSltvkGCFlNvFBmlnTwbc8ELCP8p6rYsWSUjA7hyaqF3U+A5Z24Wg
fUKPVAxOjZ7aR7z4tw1shyzTrpt8qNdxCi9Fgf8QwoEI2/FQFqHq2QPxyQasiEArYyo0ZjSWBEkU
nUnie9Q4S5BJ8z1wIVJRCrPDxm3HjEXBUSD8jdduMr7SHp72QR8SlJSrzMokyEIfHAUArn60KhgX
hlMyqvH960kCMEJc+usp4DR1U1QmgQRl5BKZUVhkMkkXd2Rzia0+T+hfN02A7iYtQ4rTwCbCHQYH
QXKIgiFkgOXwgXtUWNdtkB3ci19aN4QRInEemAqyVSoRHyOsjxTmh0XK6AlrOonwARZh3BDrWCJC
VFghka8RBSbxIUJUNxR+4dJmtL6MJWTE6WzzSpXgkVpMmRd080tXq6RONR3XcwkqiSWypJPwkigG
YzJPzonhq7t0RuutLgHG1a52hRIq9/SWpUxNNy6DPgKrEdCX0hTrlsTlz73Ep0TUUIvGsdNt24wY
5IPhVpG4FZ+qj2AsRG6ZT6RwkDNTlXiWCk6LrzLMrozU2CqZ+eTG4gvVzsaWcBcxNiclU8CCKA5C
QQgwc1h9gdc48eHbZEjljWtdM0dvjb0201Pjgm5SsY71lBGiBQcnfBwDvvMicQqaJ52KAGJcT4hB
L/aQPQ152UAgiBgpNMg38Sc8jNTbVEYM6kYUcs6A0qco2olg/4Lov27YDKm+okXErJh8LBjfgXUg
LKQi6hulJ6H5d3Phn2uLzK/RbZZdkX+N2upW6OEuF86hd7C0tUgL53AjKJxDJTypMbP9YqKpTaoz
PfnauFELqydvt+rX1agdHJ2uD8XgjrgGsaL39jS4wbYZjAMDgq9Wa6+bhLCNAqBV4WfTvlCmZyEv
eZUGgKca2wEJbG/tI/RPzhiMgL3ISWof86Dqi/UYlsZMxkVd3OpD1zxQyg50JgQx/pba9PVWjxzz
c5AU5r5tyjS4AJ0MnF1bKcZnP7CEf4pN5CWZm7TLzvUfNToTK3MULA0fOa3PetkaBZCBIWZ4OrDu
ViZyqgWr8Kkzuu2M+3FBm3AbWrOP4Y6h5gAJfYHe9tqZZ0jRHVK4bJ5R+GWX1Aq4ZuMqXWVlxPaU
pIJ5cfw1qO3r2kI8ogxQNxHdbwlQST2bMCZ6PPQT+ofKhHrAt3jj+AjZXdSplTpfXCM6dMlkeujB
nrWRfbzIYYAN2Y02aKnXtn4jw7Ii1pp/nhJVeBOAbFx+MYw0pkXJLpfki0bPn5Eek9wuoGLY4DGi
JP4iwGUU8fhlBJ+RVyApZ4AavgFZg35cwtw8uVPHY07fMEu2DoKEfCZdLNoovXMOJKejB9hhAe7A
kk1BjSTNBumhcWEjhgRLSyp5H3Y2wCKFABJKFkgtqSC55IPAV8oWBKkj88cKMAER0XtV87KBuYcA
MBLFJtO32j76ZXUpJIMEGxbdZpQYVSiujBBOiRlA56lrwk1AmCRWcSlAmijAJLxCtR5jp3+Jkdxt
hjE9DJKDQk128AlZMStHih3PkySmCNAppWSodHG5jlx1VzYOpCgoK6BYyLZXCo0AQO2Y4x7yUM/C
UiTVitaU7ZI0poFssXoXea+kuOhknsWS64KUxuIPjms8mHujhf3SRWQIRuBgyPxhf0bDk/TQs5To
lvzY56qzd4KpUEI6aQ9XJpFCZRXldy2RMzbsmUwL3mLX3ZowaQqFn/pQatoeXgXUmkyEm2/XqH/v
k7LW+tl9kkCfHwyC+Eu/XyeFFNrZjIKoRiSFkR+9F9oJDI+WSVyBwDn053US3qNQkd8ZDuLe3+R5
vw/R7f/ILCk8CTodDYPhyj8ZBKGa+3idxMXJlN9gkM5vwT/4/XXSYdYE40mdz3oWPlQ6952UVgV4
E9LhtTlbO5W10VhE5qTQpHAfSOdAqdMRAZO51l3sAJ4t2l0WxyuSRvxmadvw+lYR3dX7tHBxZwr1
OlDyeteyEQIYg1LwRaDpYKat6X14sFG4Eiefq7CmUjveNi1nXtbF3bWKXgcqg3U7JLJWB5kHyptJ
aK4vy3BOOAuKu2lSHogWude5Ei1UwZ6s1twvlAnqr7PXiGaCwfZSzzppKPmwCEA2l7G4sC08iL7B
+tDyzfJb2fWryZby868TSaMkBGtr30BvJGq6JWTTndtae65SLgtmr3dLjNuv1ZDNy1alhe2OzipQ
WxhORaitE8y0eAkVY9oNI6mUKJsOWmefdejYnRYe5s72MGTZKLNCeuSiP9R9+Riq7pNi2KRVpfp1
grmhNYl/ibAK1vF839bDuu+08krzB86K4qtQNVoN0Y0Lt4GZUXYsg2ynZdND0nQHpei/qjVXUlWZ
iLfU9Q5xFrIdRUnahU7IZNUoZBuFlgfXRyx9QYfCpIw/C7QCTJYr2lEtvG2Q4F4rI6GLmKFLhj5g
5STJ7OUjTF7MZi/hFOxzHTFe68fqAiimlzuCHUvfdl199lMc6Tq9JbyxdVWiYbC6bNOaZDwt4Gbt
9Lb2msY8tSPWfr0QwgNosTZU/0tClEuSjoAXOy5++fgcWAXMRs6iInVpxuMPGUJkVaGuPKvkpXp1
37K3JjSXkVOSTuCcGLv2K0cFvyi60IKkriNKzuvbsGG0I9oMeZQImC7ZkNHnupOJ8TMZSKnBMWQv
HW7rG3q17Tpl/V91DCJtxdgpVfPAgHarduJh6ElDDMJGXbaN0OhliPiIeITrHabVVWgS/+H3sCPz
EbsJyWL+ZtI09aocdXFN2hf306SHiFLS/wr2WQJKZazEM20NEyHeFJ1tXYDGxPg7OSTNtmSooptI
0ZfnX6amWIs++lQEBH+75BsFAM/RxU/p2TCIthqz33b3v+14fOhImCr6GpKA6UVYssiVyqL3JWep
40lKFVc7pxmK/VfTXP6yEfyDR7hU22iS2SNVhhffP2Iqg7GJI8s4J82XLrlM5V3uHv89o75JFmT3
+ednVFk0z389puTf+/2YQuulS103Yi5OK8z4744p9T/Ezei/HV8EHf15StlQhGmn/RECwLr485Si
1cGRxtzfMGzZKvkn9jipiXjXxf/W9ODIIxfAINlUrpDvl0dcK4mwZxGeMxXx4ykUhKyPmho6ULny
PLgU3JT3c1dZn63QAKbjKjmKX6h8w1M9282DGxrFretG5uyROj8A1srt9rHRO436gSbEygpj9KaR
8jAKNp8xmA0vFeTEitG6OFi3O2jhXU/iTjo9D8H8DM/d4Jt2YzUO8BtL3YiUAGMxUbdribUae8IO
cTrQXSaspEFNy0C28SC5PydVTTscqeeCYaXEj5FBPzF2g+HtSHDYKOGRYFE6d2cENaa9geS3zLox
evMmiyxtmehMx/zxaiYXden2nEt5dVvq4jO5zPqigP2zzvO4Az8543+J3Mxjls+EzDBvYss+9k7z
SWRkpVh5eiTT7dCFCeWiL+BXNjbRCHWAUngoHa+ck5u+Ku8rYy5Pet0XOKe4rNdSsF2TiAgLVGp8
U+TUrc5Af8yD9Jgje5rt8hMW2t5rNLVcdmr9Njf1hKJWcjyabps2MRbEbKtRZZW2HVPIuB5JdCOp
LWLNFRYddMx7gGd38ILeMbdRzv8z+rFb5G7xkIfJK9fpa8cgd7BMX7QkvLMKIL9tGxtHuME7tMjX
USl5DKYdevgB/EWACz9Aq8MZYtyElnWHV49Oi2m/WkV+mJE6lJPDqFkFd5vnNuDRvogB+Y6HPNK8
Vh0Qgxf5Jo0UJshGB69WwxxY5Q+x1TDZw4y0puJaWSUEd9MaPGXgFhCqztqo7P6qk80ce2qcFtX3
rk2s7AFJwrisk+567jnLiB++yomvW1QKUNt46u7rKf7i9wM9/LDuFlhR13btPFrC+WQD0RJcSNKM
FOVR/hpqf6NMhBL48zlNImp6sXb9C4u1uDL67pi6yWWerM+RRf8gJxduXRMdvjAoc/E2T4fWYtlp
ZnwsBPHqMuA8VJxHxaaTRvBm5Gnx6HtKLXMDkyuzzM5gmA/EkV76hl5GK4XygW2syc/9DBIBDLK4
z9oUQEth78veOk8R5FgE0wfFZezcV1we/eYORfkXSxlPtdW9CT+7w/6z06Cfxn2i7VTYrl6busB/
Cj4HFGyvqTbwFZuR7zljirA4t868eGvRDuEn7J2kTqjZWfjahVHLunKTL4rie07hqgs7RH+c6dlF
poNRmnHtzNr8MbRor3NsioWCZfagkOjmmZJy6OOL8YjifkYPCOVqSq+1xv+UgvX1kMWi72T06jrz
Mc3bU6cldGOghVnZM7dJuJo8dBDXMUyx1IewCCiwSdWNoRtbvSSkiHDVU8fdfpEbTr6ekhx3o4wI
0fBpmOHe7Vr9EGl1ft2QSNnsx16TooIczKvQZ0I1KlQesfPYZSQxB0WGzbZiwr6uUrXd0LJiipwX
+NRHQ1zGydgzS9CuQr5YHp+5SRAaNxOzJwSAXsv4OFd5cAPwIj3ERmxuWt6C1ZAq6VZDB4+tjCv0
IiAgQF30VhtuWwUME8ZLHj2R17RWYoLf/z2mfzum6eT/5Jh+y1+Llyj/QYyP4C/+fk5TTpLmANNa
cJVjaM6P/ignDTm4IGQM0Au3KDlL/12T/c38ThKEy/VR6IZ0W/1+UJP9w7BM/W8G8j84pE2Lf+Xd
Ic2wTTV1YTOdcKhoSSn8MGq3cSY5SJuVs6akXteya6rG/OYPKMRwNVqLTlfXqIEIbw+ydAO1pL5x
60y5FnavQHOygYDdBHQ4HZxEE/CWRqsfaWja04upsG9aGL8XQpogYtAzi0Y4M0n8A/+PcnkD5Idk
BWmgGNsIEFmpuOsad0VeJupLUGG4qMRYrgtpwhg67CC9NGa0BX9Wl2aNLhH1Z3AJGDiklWMm3G8/
5PY+jmug1wixAQExtMYB0onuC4HJfCOkOYSCBNmzLDbwjUzSQJLZ5ooNor9ypLkkq+NgBWqD4PEJ
t9MkTSh1whyZmMKFjvly5XBQ42zFtDIjzMGB21xiQL70g9r0icNvutW0x8hoIrwgyRXu3HBJRX8d
z22+wCZ3mlSuLg5b48CApiG533Io0Y0WjrsjDTa2tNq0hJXt82/2G2nEocWqrppv7pxawgIdadnp
S5R2fCzKmfDhaWHi7AFMr3stbNZKmn6SvhivZ7btTd4YyfWIN6iQJiFX2oX8b86hZJ6jNUcAtjVP
z4nHjaXHqJZuo/mb8WgcDWdJVx07UhyGM4L0vPRvTR676b/hbFjY+S6v+57NDKOQbynOKTLIYVq0
rn9KCBh18pNWdf611oVPaUgEbZhbz0GNOmYgVm1F9+Qp0dpg5bflV64ZmdcqwTH1QwKX4+mc0pEn
yzn7Gs7mEllCe55wZ3mZDQrCqJ0ErnGC9K23dnVf2XtoBZoHCu42jPHWiCzbGCH/cWtawqOJt9yY
ZOZJ1JUDv0ArOgzgdT8I49SbpbKfMPprMD/0i/ktk7umla025P/onmjIMCrjtD3WlctcioV2RsZt
revKrA6WwSauFAWDGMQSCKu6DRlZn2V12qpU2hM2tv0wwiRI+0BbmzAxrzA+rpXMfRVKA50quy66
7t5X9FNTYtpdCKW8mpRo2gkZXhIU81YxqfIBNqR3auz7hPS/tcp4iFIESIZ9nMLCXdlxuKnGaWXR
buY1n50pP5pZ9hmcyMHUomMGthP9u+mfcof5Q2aV+roLg9twGgOixNNdHffbpOJDckLuAgMoByW2
4YYmznPQDXwDreg89oUkaXIYK22fkTMHlNtKd25rrsDzPWc10nnUebiSvlp2xNaSrbnVr4mf9dSe
Yhh/8g0EDIIs4p1Nbpc7jN6gAa0KW3Qo9HPvnVQ9c2m7J5rZgYziFhbjU9fa+878FZzKjTl3O5s8
Wj3LVlYLd0sNx4OpJB7OkefQ0jdW3QMEQdQYm86lSfIbpxCvLnZ4kir0t9adbgwFKHJWlaepmglv
MrySzxgBFV5DVGcoxcB5qFjx/ewF8f7dINejlsS7ugsvczGeMyK9MV3u/LGAAlJAWuDxqaleZ/kI
FHjyBJrC3O+WisMFZFY2XBa3NqKdrCReoQF+YEotnoheLKfzUqXcKtj/ktBeTWVxzgFPrnKVFIUW
cycMv4tocaP1wXZUnWVWKEdml2uoGvSWBSSY0av4imAL8vwaMp+ren6bvtXpW+F3NwCeWZEqkQl0
G4b8k8n0qpnJ8TJ4Bl0dw4d9TPxqA4OQsoXG+3hjjO5dGs9i6aa40UBbbzKj9lzfZQX60NxtFXJQ
9nVC98AOt2a46zWhs7QcfJJBE+5oM23JP/2kai1XLOfWsspPTtjcBCSJdNlrPpVvlUr8LtaRha1H
a7Ib8ZVPyyQwViGZxoEeXuvEMha9fsNl86umtAtRqwt14KavqlvF7bdOo8C0SG9jmMitqd1T2ixs
EosXllmufIUIMLVb81W8alxnrenNHkQuD6xWQckbNubNsqh8uI6GeBm64hP/FNNsnx5kY5SQ3EJy
H8PBI6zuuckbemXKgUDI3azYSMJBjPZ1Qqwvh0RYknPABJuel2VvRNs/Zl3+ucXDO5X2DiECbhi8
tEVbb3PH3KljRmlmumgo+09DrT4WdXxTKBrDmZHbZsd7566CvN3arcnqtDfol66JXzqU6B57pbsF
yrR1Rv/sS1adke0JkDiFBZqlvCM3Op0u5EUy5xjIOneu49o96tr4VFroWWtah8J17v3aum7q5pw3
5g2OVHVBaNxtR6OoL5ku1jN1m5kegX8QYVapi4Gxey03qrn4NCXtQdTmpiwJfKeJGpPe0Azy0pMz
fcnv63Lag9E9KAIeN4R2/wvurvS2we3izaLd18yv52GgZZlw8MSvDDHv4zZjQIJ4c0GQwpOBNFwY
yTIucCZH2quV0ZZrq09JHe4IXj6z3+IqqhP63M3BnKXwK7UTsi20p9BsyrWrJ3dZ3ZLlNyabRNcu
ceLEVLO0NItBX2Ow2PqJ5Q1CyVYRGRI9vgabCBFPm4Qk6MEQzC/MYjexP+7HfHotFXTwMNFbwgnJ
uUMG5TeMrnt71XXBqg6V3GNizHSn8whYCZaYyre94rz2vbkmDW8T9PY6UscV7Ub2n4bhXTDO6xE2
KTkVh7o175BE4F9oYeQ11GcRgSLhoOxzQWC8yjjKoK2sFbtUaU8zLZKmLl8QtyLrbVzPT8dTb9Br
zVSOv3dX2stfPSF/7fKZ6MSExXhcKsU+yrPaoa7rLsqVs5oxn08WRXKjMOf6+UOkZvSdGu7bNRQx
Gt1UHfutLj50K5GWqBbqHuU8Ol9qZtzd0wjLRofAFP7iST+68L5/kvxN3unuCr+YtNnnSQKohkG5
ZJOVMu8K6yHuPkeF5f38hf3w3ePbhJuGYpC50fePE4zsHT8tgkuvfG67QxW85OnLzx/xo1fEbZnL
Mo/RjY/iIt/Cu+1OZXiB/BAPmw7mWwq1OAs2EWMR0f4iQv0Hrwi4HEULjWW6etaHikHKPMSkttEl
Apwc6bjeCIlLfvGaPuj15Hr47iEftLiNr7Sm5fOQmG5aWx8lZ/vn79qvXob8+bt10LczLRDc8xdk
LbC+vKS4A630i4fQgf24rL97GR8+/TKZkrLPmugyKjCxTJhNF/L42OCeCLaymrPoml888UcvC3kV
gQBEcZh41b5/WUnkZFEea9HFrq4rNfAAItn+13/+1mEWtuAasg6Iwv7+Gb6pK5bT1/Elb8JVZmHI
L7whvf/5Q3701pG/zbSEGFKbLLfvH1IMoW1HEXiMunzKrWNIpRizGbj+bdwdDPQug3/98yfKNfVh
D2KL+/OJHz4s9N34QbQJGRlTrL55JE3lF5uBDG959whpoDY1G4s1LFzD4vv6YfNpCgMn76hll/jI
cHXH4XkiMWNlXoc3pgcnZg33Yf3zV/X9I78V+N+9qg+PRCCYjZhT40tvIQCn9ygINRTF9udP+fF7
R6Nf5eSEkPnh07Jm8vZaVO4Xv3I9gWLIaX/x3sl3/+Ong7yT1eYydGKS9v16KBsRIaJU4otN6Ts5
gtvm5wiyexDHv3gtP3rH3j/pwwbH8LOoaWnGF818C51r07+t5l9sbz9+BPnLmouhFH/99y8mIu/M
MeYgueT5Gcj2YozEQnTWL466H32FWGx/POXDR5/UfdhOAU+JkpdUwehChpaxNgFAJu1FSTap+YvP
6C8vC1O/bTN4ZIiE4MH4MPEhGdeGJgy+sO03Vf15sFbVfPMPF9qHR9BLe79t5yCCdCus0ssw5wtN
If6TkK7/zyOkJJhkJJc+2/ePiMcxU1IqrUuTvijzjiHBLx7wl6XMayCCm+GsSeMN3fv3D2DrtAct
h3DIPS/r0PXGOxl2lrtv317IvwIfId59ostn+L1vnNTtdPWcvf3v/5ze6pe31x+MTvlbf7Rk6a4S
8EtoHkwOx7L50R8tWTi/BhNVct6IxSK17Y+WrI4/nJswSnFXo1v3TRf0e0sWwTjzdptxJ9GjjGL/
Uf4vKnOWwJ+73bfZqW1xYySrgzuj8fHSrSuCXkiVJGdNNdoaTGhUql7UZ4aCCDSxEZRYTPO8roor
UsWTZYerGpPDdtztVD/e5FIpLFtQrfNAV6dclFF/B6amPqgj0OpPvhQPWi3pSBMXVw9aOsrCBGkt
sRTbUph4rNAfFsl0HpW0574inn0Wskcsw6FEs5hbI14hVIwjakbgPfO6c8YHFN6vVmnflHrBP6DP
5TYYTTQwTrE1GvcaGMrXvqjFKoszekgaEspyaJN7H1UlGeYM59QJR+ionR2Ul0NG+rglxZiBlGWO
tbPtrZIUhmTY+pZ4MqSEcyiAy/ZS1lkUVb/iMhFvSz3DX1zbDkMoH5VmFX7qkqpd5maZbAIJvZ3l
FESX85Du22hkkFMSRCaUwNW34QmgBPzjcqIShmq5SuSUpZHzFtLNghtbzmAsOY0p5FymkROaSM5q
Ao2pzcT4ppJzHODn4CjkbMeqMCcB7mrW4bfRD/xgknUYB/lyLpTLCRHRUXj95NQIZQ0DpFjOkogW
1A9OWVP5Ze5EaCZz5yraG7ZiaTs3obO8FgPBm5OdaF+0SjeWXacs7CqOT2HfLUjjQfePTicka0nC
lNaqmV0bZA4N3jgVhJDVyRsmg8eqSY6Fivo8s4dNirjUI+X6VLvKqcHcDB0wWpplejOG+b4U9ZNQ
kmM8YFKvRHanB+GwakPnxUDDKQL7Ks9G5LJhaydI8qdIrHS918nPMsN4PhE+ky9UKACJBCzrJG/S
1Q53XeYzv5cY5tESziqbg5f5G6JZLQqKbTqkhZxvmhLlTGTcC51ngJ+YzzwSYJqlHo6rThKgs+k+
kEjoqc1N+mR9DAOR1j0pcFetREhDTkSfG2TEfcKXHiP+JAFdi5BWi00B5SWqNGWYbuI5M4DqSaKq
VZjVtoRXJ4TR0svBZ62q7cGKxt6jCytWUdooCzUTn61Rw3UxFbeDPdLEmKBv+HljLyrCW1wkzETP
EjcPcvQt84NXollTj2+X18YTBlcuNp2J2m3qaYaryM26ZspWhSYjq4vBXTssfVUzwISpdUuwndly
lVNoCCOthtGd7POmLe7+PT9+m+pxpfvJVA/rLfe5346U3ev//g9phjo0L/7S78fHt5Qlh7Jebs0M
7/jRu+MD4SgBIgIjmBzc/XF8gC/l5opfFjy7KS2ufwz0+AnKGyzFuspUCRLQP9KHyrDH/2PvPLbj
xrIl+kWodeGBaQLpmI7eTbAoB+9x4b7+bUitLkqtUr/qcQ1qUAMqmUnkNScidvy4eRjLxmG5Kh0M
hJ6+Mj7eXW3rssaOHCXRNQxmk9rNrywj076oQHJ43MOvoKP0G/WI4jfhEqBZcEj0CHfNxvmKSRq+
IpPopdgBBtKDN0L2iVgPFOooB950G1ypiCuA4YkwhtdGWsQ5mrYRUYOsSm3kTDubcxZ7WetSmk7g
2qYMs58swg2sai4D/WaSNqBVWtKjnY3vn+qKxKRRcgResavDxk0ALrbsAfWQNZeQaAKjBn0a7HXo
EE9YpY5F+KSTymcTQ932n0f/21PMU/e7R7/oPgOl+MXTz899f/rhsiNnc3PhJsbXwuARf/f0Q7rh
5PwvZjuP5ve0nfWHq2J85+rGffTPZ/9rJ43jcu9eLGdcVsy/4zqDafrzw4+vfunycjiIwVEwfrr0
5BX1K5PqWOdcn/sN7QWGXwr7xWbBL235RBTgIZ1vgqnfYsZfa7VzI7vwIcjm1EP3072KoXNdTCcs
LaHyUR/Sh5wWaV/Vm2Q7NcUHYMmgDwf6mPJkJ0JKbCpZIpE3cDJ7NjVcvq9K0Vcf1K6IiTxnwzox
4oC8WUKsBNBjEDZXxcCALtGjpxzVgqLwlxllI6ucxhto9Z6S9MaN9LfGUp/HftI81K0TOYDSm6IU
l0idHKRELjbzsn+ahPMak3Q4UJ4erNUBYKaokgcaIl/FZM97I0eeAqmFwjzv5lp77dv87NJxO1n2
ndts01msa5cIN7jrBxnFL06s7AZRPrWNEl7ZWuW7lI3nRU9dDeyIbDqPU3xevFT11Cwpw+hTiVsm
7AoiSNZwdhfbUBlre6PcoPmvoglZTLtbEtmof136UmtRveJX3LYtna4YsvzMQLPpTKBXaaKhSxjB
qjTblvOeW3jBoDODV45WXg67sqOsNojleigT1EPrSOBm3hikBymezHY1xdQNU3O/01q29UZsG2um
3bGX15Pj7kSC9iWCvthGBfpfjESeFbxehmxlhgujvfkg5ikGRcHAiUbcknn/aAXukmE7okxcKLc8
5/TOWwncMBJTxyGMoGfYvm3OZDoN1MRMmORHFkNSiELoWUMPDjGFE5HZVLLBzcxhLkILn2IX6Tkn
/9PZb6jOe6J83Ua2iHdYwBfPxM1gW61nq0wKax2eaFJ7Rp3cFmqe+BF/OaXSH0yiNDXVt2tmDM6x
VtR95pSnKqHnNh8fo7b9UNVUzajDFPizZZFNpAnEmxqSNWnS7fupox8WspGM2RhmbiNeHOU3QWvo
dO+OO4B55aYJyc3hRBvoPN3rWkwhto2oix27rKqL0UTYEsXWVDNkTfRR+AWIkZl+l8zFK9inQ6cO
p3LWoKB1xRU5t6MA9avlQG0yUe2d3vmQ0CzkRiFZTQ1sP8SCoY3vKqk8MI/fi6K8koTyKavbp1BG
sX29Fm32YKU1H+o8HA29OeiyPMkeqzyi3k2W99sxiI+GtMgzwcx2y726TD4mg40lugoNNN1m0g8V
CJChFdciMrKNnBs/CLvnwQar2xrzJm5oTpNQ4qfZvmpc7daMq0Ma9zsjnSTvMJf7pIdEIppTWNmo
tT1ODriteEPu2rJ9Cov6QEvfSUaGH4XTbSEyrIp86dMM5voQP4WpvTXDcpdbsbMnube1+mEhcnYn
vXBjj0owTuvhHk/RTa70uCFF7UWy2YOSfRYjSAJHZJnvavJ2iMyjhEK4AnNDg8OcP7PJ7mzZe9XU
+RSxKJ7EgaFn1uvsuNtB4czuDpss7l8KjPStKb7MbSjJzmrrGddcLJhhruxZKfJburQRTJ0h0zZO
abL2jbp+RTwUIJOVHdxQHrEk7sdOdtBw3QNF5Rejzw5BOA0r1LvTEBAljd3iQ0/1A7Dy7Ewv9LYu
3XMDnAbb3bjJa6GuY1N9jFU6DSBU6alCbCK5m5c/IS7nDxWM2LINCbcNBzVUnkbRX3RVPYuU1Jm1
tAJPw5umkDmJqxD1vqYusONv0ajmppBhvK2d/LXS9dPk5h3iWrNLy2SbFtXgt5b6iCR/Vbf9Koq4
A7fKTY9n19OMe9qp4W7MH5LMvps5ch8Ls672Igxuq7w4KUsAJqiztTGbr2plban3Whk67s+kg8k0
NKO2S0Hda1r4OZ3IWjMoF4fJno74s7WNSvPCRsT61q5N6LFZVOFcxidghWIHef25HeK7upiPkwzv
g6bdFcocAphxHosh3vKe76EsP3V11O9H4zpN0UpF72mJBYwwH7emUV6GLryPxdz6jtXvFBAh3ezs
m9ai1FDdNaHLR6NeFOonVxGKfC+1u3RpjBBcM32nWa6WKuhg3Tq1Gfv9mouOlq3lUMePZh53LP6W
fdAKzDO5k/WbqLZAOeIOip2eb+d8rLGBrayGt8Q1bNeM09YOC/caDy1NJ/RfrGclhubT05oOWX9c
9TL/0JPYNKwi2bDDYBLCr057z3JRCrnOd7sgIgg5ZiRHyt7tr5JspFdAmb4UTYvZiyxxOgFm0ZNG
XXFDc9Zmlj31Zaj5YrIalHzMm2rU2soqTyzYIHl4ZM5SXYpa7Z4T1caObM6NwjRjMG/aAWh05szc
IIfMIFrP+GUpaZgzf1aVI/6yK5A/15qTbowxWdva/Ajx/DasaVivNbxx1HloGdDeQq2fg8FMFoF5
3aiUMPfpuJUGNlW96z70CTTL1HkxAv3UD5idMKHCwNp0AT0UenuP02HyHTt6Y2V9FHqzw513Eeb4
OUj0A7FULpYRWnisU+6t6M/VbB7sOD9B8tM9y87JyyOyVzgEJFs0p24MGk1wSYTpZ2l527VUYzDH
2FP9fTTHeKc20MbSap+74EdKkVLNRAqKXugbd8jvOkJkfTlBMyqK+wKEjJcr6UHEw14I5USvlsdR
aKuN9b4LXGpT6Nez6wOZ9yfL0A8ZJQeNzk6rO+DSqo9BAsU1DW/GgJPChGFjDqJ1gzfdrLvPeeQe
lYLaNx66ERyedLOPQBvgq1EzR/HBbaNR5aTFnmsktJ7mBHhHcdemCup5oSge7D/S1uEaXtEm6LHd
L4EnSXVBl6i7XGrPzOAp81bHjQm3XGfmw9GiXoGIq1nd0+dMl4x0THjKzKzclCuNDDOoTMkjsNCt
7szXogckmHbq/TQwUEqqpxIYJH4kWExKH38KmrL3qGmVDEj082CKcxDqwMY7a828d20E9jZx470b
C3cThkAU0/lzNZnnrlJ5xwMmM0vjYQnLwQRoYA+cpSp1HUyWcynV8qow5BrmGeWhnbjJDOWYdeSh
aCHZtC1OvcCM8P3TSriLJuvFHLDDuaw0mBvG4zg6eJKG8mmk5ouCjRdNo72uiutngc8E0qrcpG2f
4UTgXTuBunOXpYeKjFVfutEubLLEY5x2qhjNpKEyXxStOdAFWfsaria/bvIvzLJAvE41Tmn+b0on
X+3ruzAeqy0c1v1gY2maOgn4btm1TeN5VPmiJQxm/GbEYFRPxllN4zPudc9IjGhvR3N7BM6+hKX0
Jwyf4dVARZHbZi8YEY3d8nWH+sespWA3R/zQX5wIX39l3KjDGB9dvaAWsdqHlbjXiHfPpSlwQslt
KEpf5OmxDsVW2gZYazP/wtAyYy3X1qHu3KddeRUTmk97i3MmWGtgHs+TWt+6I6DzorLPiRqCiE/o
WTEmugaSxzpzX4xRv8UYUB5MPSkIiVtEwDrjhU73vQtGjn7EuNgWPf+wUqubUo1JVhRGv0sy3O0t
JlhgEUYu9LtRTTSuEU2jGGu4jYaWeKluKWtNjYM58d7d+K6/DZnfM0C5ir2bHoDKwUPnWlCB2OPx
HoufLlBaLMSoaUV8SSo0ieLUzuPKNe5+/yI/zre/vwiwSfJpOJns5Rb3bkSRBqA+aaOPL2LaK8VJ
KBHhy/tu+DbB+ssQHDfR/3wvNkMaAz/BAl758WUCIVxuAYKDu/ZlKB8U/b94Y37x7zPnIftGBI6P
6+fPqqWGriytPLsUAw/azgnefv8x/erfRyniE+KDWizfP/7+oQ1WUzfr/OJw7zCvzX/F6/7y8/nJ
OvLtb/3u8/npbw3BUY0UltIL2Xwl91IyJrZvkE/5nCX+79/KL14Kgi0ULcegOpuCwx/fSubQ3EX9
X3oRyQ6jUidWFTgZw2Mbhq/x+9dafu0/1ZOvT9cPf5blEX/3dAk1znvbyrJLpXswMKAc8tViTZ36
ze9f6Fdv6v3f/6c3VdiJi7/n2wvpEBqgkkUb9pFlK67+y7P2i+8l/nwMUgt1D5TRova+e1O6WWgl
G29xafVNkL3149oMPv7+7fzqcXv3Ej8/bnNrclZiRH8pnLckeDGU/+FxXvLqDEFR8hHffnwLSZ2Z
naFoxSVhBdRhzkz/w+JFSlhYiwyn6cDNfnyFQik431tqeZntt8E+S3x6ovsva9ev/ug8xIxxjYU4
tcQ53v8hYORUxeTM+QXrJyZ0wlSqedPTY1f5ZNZ//xf5xWs5dPbgsll6Spk//fhaUUDxspuYBSXf
nEnWUAYjsKD1quSMdfv1pf5RizUe89+OPH8V3+Fnvo87VegNZGTQ6zU8018n+t/HnegAlsm6jxuV
igSsFn+OO8nogIEjngt6zAYKwRr1XSteCrpR/V3YYgjJFDr9nYknBU88A3+udotWDF7M4rGnKtzG
+PXTM9LOOFakKa0zcxouXajTFWZtJ6oNXxmpFp7p2ZOMXxT6TTPf6QK7JH+Sg8GRMQdn/PYiOzky
FtyMUfAsO/RauAEG7mmJWrhmtKeRWpkHM0Nx7fChPw0SKJI/i9CACZYC2q72rdFQWuf2pjXeyMRm
esDOEm5ss2H2MBZPAAvAqEKB6pakbNv23aruRb8CYpRzsFbaTSDFfVJop6aw4G0z5AomcUusHsiR
uhTGBRXYrfxQ1MGRA93jBIwSyDcp0arKt7Lak6zEbB0ilMVWEnupTUN2NnJsjh2MtTLgCAsw4Cm3
3WtVoI9m1N4osk1XFS0zK8xalT/kzlWD2VdbVMRY9s8doY8VPTGHPOa+BEfjui2LaTNYnAQt6UKJ
7OuOu8M8+mmHuRp0KF3TJh5hR2hrYM6TD5IYfJvTf1KM8QDHB6IE8R0vD9RP41iVnjTbDZjzXWxi
n8/V7Jg4WuXFdCJBPKe5tx6OrcSz08dIg3Op3ymkSmtbapsgDbh9AZMLKBHfYy3jjG6U50Qrb2lU
8DDjHGImItGIkt4vy5RN37TMPhg0EK6aqPc7nUBUlvpZZDBArcIrI8jXTeXAteHcsSLWlBAVLtON
M9kQzfTulCvkUCntBDQMeFsNwydJbhnzpAtLZ2ILVKzwGgUHGK3beWrdcevsEzhHzVNYksWZU/Mw
TepdF45rGr6pER1p8y2S27Doj7Gp+6kdy5VlzTHcpilbVUAYdk0aRJ4Y3WvkW3vt1PrnMlPbnUqC
HghJeTbVottGOilZPX3AnfaYJ6yQVX1RogoPv5tqgK2Qk5wsgeSWPw624y9IeSn0F8H03rfR9/sh
uxtTcw+TiqHFEvSIHBybU5tAJBNadKgqQhW6O1PZMQxPBRKgn2jd0xgMj6rR3hstSjsVIdsici9J
a3pKQs7I7EAvES+AIjd40k4ZS6UqVH3mr3on77j/YqhOVC5yU7gPWyPc1V19K635hZjKK4XmMXxj
StDcJK7preJ6bQj50McMstUUMnxpRVeKUl4J230rCJdT11lrnlaqd5hDmWAa9/SobhW9vB64o+Mz
0++Wc7LvRAJ+x6icw8g4MY9WPKqgN2OcEVqzuZSo01sezuOOWq+d7BsDHqnjeoVC8BV7RbnpuuIl
KUiLTwutPhtn5+CKCeCditNdzM0xttJNziVvE2jwOehOsFaWwsSxnS6qahBKYchaNvWZKDmlnEF0
BbQlW1vq+DmN3VsUE3tl6VWAq38E6DZPX4ae5Hffw+KmYtbwsCESdm8X2LgNgDfI5B1MXR4dTDqU
VylMuqt44gJamp5RRrs0HN+sqCvWnVUU69FyifPWJ1UxPqdEh8CTUJjSLBAzE5oZLM8vDXSzsIx3
01y+FF+xZ1G9txcQWgURTSxoNGdU4CNKYv6jZuxD+lZW84JSU7XkpMJWo/59y9jvQJ8DCYzgkGfJ
PoLFFkT1l26Bs4EWPE7Q2iyluq8WfJs+oRsI0hAg+1n3mgXzRgnK2l7AbwkEuGJBwdkDULgM+oi5
YOKGBRgX98OjuyDkZEllS79g5agIexkX0NwIcS5d0HMUmJSAbzTu7FP0pA2fhwVTR71evC4m4xBZ
+cs48YmqLvGSodNAxZePX6ul9Bb2joEdMoTnNqU26Q2dDEtb0hZpvM6N+NKrPAyku+8r5nxABlTd
N7OOlm2m4Js6t697gJMUTKmYFgaF1ob+TFTrlrdKsjO6zFR5kYdbQL+9QoMwEEYbPdOPHLGXZUp+
LHDGvTGYd1oVPEc2dPAmiz/nAwGXwBgIwuMH3LVp/6AXkLyxxM9kyJqeHNA/p6RvwjAHlL8+JZ0/
92+fOO3/hymCn/p+Tvpa140/jhwzR298Bz/IwhrtJQQGyDFzTHl3TqKeUrMs7Ap4FRZoFif27+ck
oK7C/GqBo3ZK/XvCsK7/eCnkmGSTBiVPzdUTdZrf4sejNLDySjeDeLrExbU+0ZCqBSgUY+c+jDOk
ZTEBX3dpiXXm7NaZjA9TlSmezX4Ht4geIpB+MAlomW1T96ILvkmjYn1wo/SUSfdxppdWH4ovZIE2
tUJhbYzHP6vyauW0lubxdG6Flh+JHhF6Cii8TWcmgqIm+8aVGeE0fbTwuW10pgmwCGskUxqsS818
TjP7MZzmD1REIYbSsjvU8oEW7euG9t2Y2dwWL+5dTi9vWY7hOaCptxz6ajXR3as6jJZHAE35WPKe
Zz+h0aN25F7S+ssUKCAZWWyKSHmS9AIT3VzhXD9zVd/MBq0cADWCNRYmAjK0CrMDbWqHmLUO80M1
1E/s+Zc2VS1apOrpblZyLFcBOKeq9eaafmIz0WMPOCyOE8qbqcgwX/KZagNrCGzMVyK7ssvY9etB
pQ55DJZuqsR3hkUPXroZJmOhX84rXWVpJw7JHNd8ZNmFdBWysTHMlGEHQfRrG/NooSY/qMPAOIz4
dU11Rd0J+sQSUh4o1mGyNHyFmeEHFA9z8oyPaCLrtJ22Iht389Bba0lWdEUZ4nYURu99rRYNCBQa
Np4WksafKwpHM0HnM9mR19nA1UUShqFsIB+6oniNiVoGJqHrrMSb1u4nKSm0AfhqJcUOopqyjtLK
5BDWn1wBlDBFgMRe+DQZ1lVeoQjn5vRWq2b9YOREJHPjVoUSMlQDVcPjdkySgCNiwJE1DnYEL+jA
qPUDVb7qylVIGE7KhOcmdx6VnuitVSubwdUI7PccttminWDYz66ZrkRZ0W0YFlBoaHgGFbON44hy
LRtXpxZsdElcTcGO3jTycUY9yUztS6nzmQUJ02EHu0KQPpB8fAlzmp8jluaxczjCzc9tU+T889EO
0dP2IOaui7G7yiVFN1oyP/dke1FC3ropXoNKPnCk8dW4erHiofMDHTkzFQgUWZPdS6N5iBhGrCpp
tPxq6YHw/bpaWrE7+6XGNblqpHVq8JrOkbEVOtBPstVbMZEJl/LVdMJbeHUbWy0u5M0uYyVcvmOz
xtmag39tFUc6Ec+aHm7S4lPKwU0yhV23Q7At42FB6xoc0szpOobs5Qh6M1xqVHjt9nmmnsHDf/qW
BzAoTZF2nmiBv2YhDZP9dG/NYA7GMqOstbHvwRwdyE6+zE50ytzxRtcooxQpbNHa/RTkYpe7Do+R
XVMokPMABkvcdlwHiUaJrVHxhVLveYyf7Q4PlRqU5y4ms+nqn9x5ataJMlyXATJd3qqGx7GItpug
oLDZirAsdGhgZjpm11Pq3qbAaxb5gFaMHtA+ZaMAhyz3wxh0b2lWXwdqw13GNgO/HQS3iql2101i
HiqnNa5n3dlCnYtwpC5d1FWhfgwmUKAhNdVzWR71OfygouzIpcc6Xxqtu1Q7R/h9V20VtSSUkd3A
1nwuK3teS8AuIHSqJcVeu6sK6PDKcunOTpYW7cBojjO12p2mXsVS3UdRd9ugDpL51fcWRdwjhdyU
XSONUdFddZFAsaO1m5yDn0S5RDU3vk0u/xmMLDv0X2/5l+aN0rRfbPn81Pctn9EIJzmNAwTce/Wr
V/7foxHnDzYBU2N3d5iUWYwrvzvB9D/welmMLUCi4NN635im/wHMzOI//tkFvan9ndEIbq+fRiM0
HOj8+y5zfo0cmfPTqK624O8NtggwM6uQcecspfgXRvBBGWtxKOwWBq4iJvlqJNFVHEwvTqjOXmUn
H/WeVhUAZYMNyglDybrWRQJ3qaatL4kTWE5WVD4CCKOBBrRLGy6eHwiS8PA0Fm29eTOo2PncSRFQ
AFyYS7EqtcQF8mnB+riJmL3U6y6jGcejyB7OcpPANuCe7a5c2svarz1maVzRaZYs9WYjVYcK5Rd8
p7lnmHGAW4E2tMBRua4ut1lFT9wNXAn00YkGxIgetQx5v6JXDX/HaaZnTdXnY0TvGkmgo1Fme5U+
thEJyTOtBtaHSllb2fbS11ojOlaGtRWVcp3wnb+tAufQLWVv1lL7FiJfHYu2pDRMGdL1ZNHh2VAy
6du1vIxde1HSEfwDPpvVhGTOGjGsIyZLLktTB/Yw1qfmS6p3d3Em7qgky01kta64Vup0PukGN8e6
2oSVFT2DePfsjvK5NshJOIOn0kuqmVv4kVqFtquVDpKu5LSg53eKZQ6bymF3sGugBU0DR79eaubg
2GAUH1fBbFu+phbRpQ8htMUVxDWd8Us3KuWtNSCkwwBj9tWsdFcW1PGoGLaUE2TvTW+puL9lZTy0
Lu1k7HurhnVtIzJ82Bz0PPrkGpIFdvViBpKiclVB110V4OK8dsI7+O6reP3/EOn4wi1BOwcwpYau
9ZMwRH/LIFKXXmpNRNVGzwbtjcYXxxtAU/0rMf3P+ofN+jfr323cf8Zq8OkXS+Dyg/9eAo0/FhmA
yJBgCLsYW/+9AhIX4lrDTYP1h2Tku0sP1CcWS5Y5ckS0T/y4ApIMI5PEY/8v7NPf4Dt9Tcm+nw1j
trVYgPGbWxbQ2J/D2pFWoOdLnaFqWdeVfVQyWBVUMBiizYWPcSK9uFLTU0xUgYr/a5DzRmVAZ6PN
E2sBwZJdZFkrcPNHZW+ahX6SqTL5g9YWB7b6/G7SoZXL0aiORdyVH7uwG660fEjvDHWAN1cmeDi7
0f4caLGxKw0n2NAatjQNwYN6jQQrN14J5hnNUDEzzLappg7+nBXU3PKd+6Lo8XyrtVYsgWuQaiom
NSO94fJVs2p/1BJtRcErnsqIwEmey+BeIyt+K2mwju5EYqZhy4RIref9XEUB/hf2JEjlql2EGi8o
GQRzcGMno39vGpxyeoNq0t80jepwECStxI1hhkBzhl2SrHMzrpMHJZnN5Q6R2jYBFKtucIjoTFLM
nkwqkxZ9b/TU+87IOj6ldiyN05XTVbCZl31A9I1rHvpli6Dcjt0iXzYOggHsIUq97CdTXOg66FkK
zSbMba5fzsbtrLa9vdOWbalkf+qSLLqqqKKaTyY2271TO3F/S2OSupkas5h1L+LBHE65m02F8m31
+WdFWBKrf30iunsriBqu3poPb78qpFl++N+rwlJIw7wBczzWduYafy4LjEnIGwosFuhJBk/Wnwcj
8w+VYw8Gesv9WTPSF83IAjmmkzP86rn/G8vCz8cihiDQepeVCZQ5aOefFCM9UpWhg6B1joBCtedx
fHn3sfxid8IB8dPBizfBgWupkSUlY5r2TwcviYMY+9ooz7j41ppWfZkq45wFya3ZdF+4mdBY3+By
M3S+FEqx12gqa+qEuwGeE0uxIGhh+y7sZqe0iEIy2hht9UnBTbyiIFKazei1XTqs5ii7qL1qpke9
72r9EoIfW6bcoC35ED0zqvOJmco0wz0V5n4k5PcFH9ZJB5xukXeJcTsYcfaJgtaAkQwWAaPVnFUj
QuU5yZhouKnxUUb0dnYqshh3/vqguuDrQtW52JWtrDOneXZxSK8RvCPkCmO4TsZBBfJWdhu1gUtL
aOAA9vs11bSjyYrguvmEb7yvd1lR7oqim/0mqO8DM9vqc0wnGrLUjHVaERxIVGP8kqfKhXExzDzM
fhsJig073Z2d5Bxdq71eu6+pUHZFJa+6SoATkNPNmFKFOY8FHvTGp8/7qrbtt0DtB+6wCd21ii/T
+K3jUEUezUCmcHZZmFwUQDiE0LhFai+AzsBa2ru8No9GgW+s0fpTRlTRgq7eVPWObKa9Kg33MaHW
gxKN7LoJIH63c3ToYvFS1VoH8Cy5MhZjT0Y0Tpv1FBnRuIuZ0XpRO0Zr6cT7KcP/aSbQxoKEE2cN
H6O00ldpuOtBNB5/C0rHiw5/aVhcQZPC7tc/GSDuMD2frdZ6abv5ksbwYXOEFhnkW9voT9HQ7Mtp
2Idj8oS5FeSOO+yooD3SonuHQQC3fpI9aUX7qAY2lX5yUzbWlTObG2VsXmluxyHeYWDU25eSN69N
WGqVaf7EOG7N9MNj1OPr6Xis6M9cyTpkL5kYf3ROi9gEKy207Fe+BXTkJC9hsMQb2y7ZKFLy2NRf
pjLZOUwcDL16lY14URSMizSPUJqa+BD7PWFmH+Y0uElzdebeHh7TZGEdhXSiGIp9H82uV1cyYhLG
JVvk+QdXJdWoULi+dmbbPDljW1zFqH++UpGwMK27xDWeZdVShKlh9c+q5duTDHdCxX0mKevQarr6
zJqbhqKat6OD4VYiFh76UKTEMvV27WZVD5MpDtZDi9jcadgYEdsEnUe+WweAe9yuX0f0ZlDDUVmU
Q+ZND2o/n5SA0uW4j89jE1vHusIk6fJRrPS0Cj0w0ViXSSX7RmSDdpWKWHczc5+iC9Lb0rG0jpS8
OFTWwqObtFWHwbbrxktlVO2+4OixooaZA7dWtztOVsk6jOWR+Bou/rSipHSm8WSc3fU8atR8GFm1
Lru6ZN+Ns4vNAQdim9LeAMeDhxhUH815emwC/c1O6x3r2ymJ1NxzKdlCM1SOQaoJRCkVsKJljsBu
y/yuNKWyDPaC7ElCmRt6ArZEvukoBYeMeblJDF+3VemXVXGwa5sFUeWXtoebQpKK487ArYYWqDrY
Zfoi8yVgnLsjrQvbyKSeJxNPKfxpXYqrwQ2ybTGmXFhxB7fx0nQVWAe1AyMXIJp9qAZF85hGQ540
6iG/T9WcGgJM5jrDVk+fUVhItqTrOY6b0+ykZ12rdtwkbtSasEmG3XSEWwacy/RZ8vYarG1kG6vZ
ZxOmbnSqXMs9ycAs81soeOtp6HKXNUdeDcIqXwujU1h/FeoiI+FPkmslL0e5ZAUmHqRiw+kmtftd
n0T9FmzZtGXpj56CmlfQZHZf5GjI3HjcK8ml6SpLwnOBkullHKb34D4jeM72vVmXFEDiCiUYrbU1
1TJBANeivreC6d4pzPl5Dgqyh7JsNyYU8JVNyKCbHGVbCdI/dHlTxsQPAn005XMTc48bnSmevSwe
InalqNsZPSOmdOBuBVrZn/LyxeqrPc77zWhPTOpKnIv2VVpPDyJK1n2M9g5W80Fm2r0ja5ca7LGn
xCVp/DLIJjJiCSQ2IV6Irum+Phr1s7QqvO0lCfI04kFH92Z8EOjP2uh2d4FmjhtHgthOpJjWv9+e
uZO8M4xgj+PyCGpLJcKHw5MryI9KCDxMJjBhUpy7JfI/UjlpDTdD025+/zIINL96ncUptTRN/uch
oLPnPA2j4pzTxIwM8sCqhPs/f2W55Mw8uYsdPdv1IF4zJ921WsR0QoMnXhxYqY5mQJ82xHAG7LdW
LdZ6BPbd7Sg9Cj5TMUJenq+AMdO9LsK33//qv/zNuX7ZmNVMPLCIUu8tXmYuy7hz0+I8MGsJJ1Cb
9JKW37oN/tJ86f6nucvm9ocNiGsjE2/7p78Dro5qylPZnys6Kei5NfZ6ycIggpp9A27cgi98Vqqs
vIFM5E/0Fg3OsOTOKhYqnR6vJIc9OMsbGenuXcGuJMuedA03JKNEFDcZu2PhD8+xEl+NASGTQeN7
Y+UQRCfXnG/JbL2lXeYxvY638wBDu1UpvKfsgypW/aPSaBtGT4ApdaIdE6Y+r6xJ40Xk/tiKONpE
Fo3Z2mc8A2+jbaLF0Dky2tmJxBQly/akUGA4JCdmFPlqHim8ClXKmSM3sRn9h4+BVPP7ejDZP9QQ
RCl5mNaqup2l0glbssUtlvApsdN1JbQL9ltKyOcxZL3PjoF4k8ZGmvaedfHFUchpQVXZTYnxksGM
XBdVQaEyqo+uCH82OHqMfM18Ej2lPyr5rulAv+bqeMUV8C2NtejjlJlbYdW5b2fRSSvnbKW39YYE
BiKTNt7mlpVReE/xlTWPh9puT79/5kDL/Px9AcDMF3IZ7FABTg3Dj08dU7mSgnazO9uq9qa7be7P
VZ+dLSpMVqynr2GLfoP046nW6DtxhuVQz058KtSWRFSaM2s6dQrC96ydzNJ51o0i2rS5WW9Q/+l1
MwHKhjFqR0/obi1KI99pbOr+oMZL3geNjkjKLem8wsOMdAcnYfRIy8CpJJ694gK7NAxtrHz+2JTW
m4thjjrJ0iZGoz1Y2sTZeQpRB1XfKtvaa9D3V81gPSeOtR8C7ROiPF6rgWXAzSgfHO8DNznafePV
/8femSzHjWxb9lee1Rwy9I1ZVQ0C0bfsKXICkygKfd/j62s5lUxRIT2yst4b1CAn166MSUYEAnA/
fs7eayNqMklYngCVtKN6bXTdIY6C6zIkPcFyVubYfCbERp9RN8oLs8QbE0D7qNu+c22jJrkxkuYy
DYa5YkpfJO4Jt3C0B0WTPitBV+IEm7RFAKy0m8gBkIYc3HC1kunnOkSYkesC1bib6zExwrbd7yzS
c3qlq9nmSZtPmhutL44O8oOa7oDWy08lR/fMImNu5H222Tzu4lMeDHsrM5d9jtnPwiMZZsT4OOFl
XEjxBrnoIq8h8iaEShYUNLnpcy7hYewk57Ivm++hJYnsOdnV2wh1TRu7Zh3MVR8RlYLNtdZWoUa6
k6346QKUh9uLCjVug72E6zdW+ntCAnH2hxe4oGZ+gNMglnYpuzhRRmtbAUpdgJunS01ChT5XFHbN
xOvxGGFPqlICH6Qywg8kraLe3k1gHi0nLGa94ouGKIvuRLpSpBBx0dsX9JzXoEl3fl/uYZlS9TaJ
hG2pJxgnsba63+9I1ikxbGFG1AqY4j2i76DoD1LNKSEx4YXCtmgt4e69MI2Fhaqmt4/psDTHZa6v
Pau7L2TSD1P5YBpk1w+evo+CHuOU53k7xIwWjl1Fgc9KCn3fTfOCumGdj8BAsDWvq44qxMrp+JJU
Rbp0pXywtX3wpJ4LpdXAGSOniNujyb7f1Qdwv+7QMSPtT3F1oK3+Q3Xyn24Vv2oXhKD9l5VB9B/f
7kdqEGScLlgZ8vxZsb51w1Xn7DP/c6+v31+EROfx19qAVxJ+CfwfJNbq5yC3vm5o98sdSSXK6C+K
EBNP6Kk3Ru3nmyBHqR8PHVI4Wts5BpIDbSdjZka5xGECI3nP3yVARPquy/YloV/2rNPaOynMT3jw
rxPKN049blOr14OPTyhr/GXahI9ZpN9LQVJc+S0xjQYzv1VqtDsDvxaFxWJUZIJEPG+VNZp176jO
dYEHj07KttWaTaipu8kfN0bhnPoYlCrbNrmGu1jNeJgkoVxzh0K5T4sKVou36Qtlhm+QeEAjJZSW
4MWk9x/KwakwFXlkftaa/8FV/bXf8uPre3tR6QS//fpiU8/CCgHT0R4eg+nraH9gDfjo759tHLKU
UCMTLY8e5LqIGHVrtx/cFu/fFebZ/ZeaaSzHqj8eDfUiJE6GyyQHo/v+i4ir8LNX/XqVoHFRkmJ2
MUVR9sbgMFg1ebp4q48OCsbmqelTapLbcLA++DZenBI/XwglEMAW0pgVtlqC+qhMf32hkdxa4oAK
9UgZ88SmNr9Jlt5cWnSz0L2fZbP7DTav/der0A3uhsUXfCNfeaLrtbZ5/wOros/284389lifWzqc
LnQKx2cZaZaAhlx5MVy3q/QSbc5CTAWXyorrvFRcZJ2zYOHMi26hH7On99+F8ad38fbuPBNGJXCM
bRXt4/HzsFEX1qxZOhfW7FTrs2C+ujfcPYj0lXMMlsM6uzbWN94cicyadW82rXKARnNaZ3NnLu3b
dbaqT6CwYRvP7/JZe5TdcWVsnE2+69fVbbq8fv+tn813X2+Zn6vVWQUtqXWYFODxj8YMUNSyfi6W
xY0yL13E4/Ngjq5xmW7z1cXTftFuwJcNbrRFTLuNjr7L5kOU7eyb5969/65EJNdvX+ubC3o+nAvD
vKsIYB2PwcaZBe60TlfeTYb3H0rZzJx5M+Abs2RlH8u1+kgjbfH+64vb9/yugtT+93N0ttqw1Eho
48fhKE/5wur73UQERdfK+QebklhV3nuds1XHDm2t6yaAINTUs65/kod1b34dtUUpgwIolu9/qj+v
cX9/qvOOspSy+Btl1B4Z9HDyuyr8y//aC5yd+bTBxuQOUeWIRF2N6AM61vz9V/jgi7HEg/hmgZPS
ws4snLDHvDjWpHkVKnIi+4Nv5aPrdLa41QpBXZ0VNcdBfCuQ8Zzhn5usRI3w86s4u8HafKrbrE7H
Y98NbghpB5A+NMv3L9YHd5d1tiqZni+NNOfYDQbT1Z1sESfNScOSTSAXmGv12DF4f/8l//j9GI6C
9RWrJRqVX78fsEaaV4RNe9TT71W0BNVBk2/1/mv88et58xpnD02CdEIqA304ou+if3+Zph90FT56
gbMlkTDrQYuAIR5lFm2a0bGWfHCZXvbH9x78s/s4CBn6eAn3MWeDWen6W9JCDhwR3G3lBgv/1M7S
3ftXTYQdvbvWiE/95tGB7a8pjRqwR32mMQyvwj34vPas/6Lsp003u0C1ww9mxoIA+5l9Kc2umoXY
1S8eygtty6k9mEULQHvrzA1WH729P27kb54I8/zOCatehlfSHJWT2MilGUNnfZMp7ixe6fP7bLZF
CbP7Ln/lcFbdjjuyUD9YvVBGvX+Fzr73TqrNoHRGaok5hpW5yL0xZ84umV85R3Ovrdr5A2aMWUbH
dlmtitXHpOmP3oIl9sU3X5KENE/P+qI5otCbDXM6m9E3Y4laZtc+D+tike6tlbSSvvsPmjus4hOK
vecP7pM/b70/l6az+yQmVlevM27NajkscTzNQlHVbWL3BkrKZgPDYzYdSSW/B2U1T5fFyrpoZ9W8
XQQblLyPifvB+xGF8W+Pys/H3Ti7JLbkMBvKWFLKhb4yVzjEhuW0nPbhTpk9AeZagprcFGuaevvB
tW4XNtUBHpVVvLwO56JI+Ks4+Hd0L4bY747u/2P2LBQovwsaxW++zu0ZziOVMTQm4y+iHb7PVzmP
qnwiu5upPqg6LAQOt9aroBG0HeFujNQJy9E1oQGq87YJ/tf/0MxPMO/otxsmxm2cov/M6vmy6f28
ncTJRTXYnGyUAzglGLL/+oTV7WgYXWxLEEnTyE3yTRd6/SxLTCgUAtUVWyMTc+BdSGEvZRucVyfA
Xj2Er16gvpDDgwnGfIbyLXJlAQRTBRqsFJCwEFoYMp+7HHpYIZeHESELgjl7XwjAGB1l8ui1Wx/y
WCoQZH4DEvalzQOdDHWci+W+dkVf2hEAM+ZSBjnY1b08WN8H3RyWUV9cp2p0aykpmsB4AucooQdO
nfKz3hbtPFSKObPufhn5BT65XFqSB9sipKtWfSzR0/Y0RnptuiWBrAdJ6+X4rcDqSHNv0B+LpJPG
y6int7kkT6gnZCsXSFQQyXKBYUGwUx28oWgRnWWhwFXtBGEVW6rllhStnaCvxgLDKnisToYXUxBa
Wzn61oBs9QS71RMUV605Jt2tWtM2xEDiuL3TMnkF+2oJ/qsCCDYSRFj6CeoCBA2Bqnm3M7263pZy
9hX6HTOhLAnoZNI/VIh0THX1sox9WruBRUrzGN/IjHFjq0UFOsTyHDvC50zP79LQypFzDvlezrC2
SZazyCy8KD5zqSQ/1kq9SoGxJY61HQzvM6o09PKxNpJtEi3bTJc3SitowHxuuEMDoDkTxomcoBXi
/dzbfhNuuxBRJQY30uUUTxLwvfSEB/0mEYCntLDg2sJ80l/oT40AQUEhBs9DTw8+lNLbh0kdL+Ua
V6Ns0mJkrGsjFpCvReKTJ0BTE4FpJeQpCTZWWZuXRmRtgC+u4o48b4Gq6mBWNXZ6GhwIjYNK8BdU
Kz3lm+9B+kVGC9EwumfGfGPlwaoHh4Un1Z85ALIGQFl0/fcV4KwKgFbYKGtFELXQShWuKShbE5PQ
oevhbil4Exnl7U3B5OIrj8gqj54jpsldxXuTRt8AXQzLywTqNUwW4gzjUa0IDhbUr6ZNDhMYMJrr
Beg2yGCahLCh7b9mUr1I65uqpT2Jyv/SBylW1CABi2kL0PFOdqKeVCPwh0DIsHbSCwZLFtbxYyo4
ZZJlLgtBLtNAmAWCZaYIqlkJ3szxlHwhp6jjzAnvUHciqPZeBYiW19I8B5Cm2sZXrZABQAp0mh+c
elBqZYXmwVDuEsFYk9VxWQrqWghgzQPDFqUZSelw2Ui/+NoJUpvWe3tHsNs0IG5Jwn8G1K0XdLe+
Sjc2uLdOhDwJ/tswaBoeHoPUoxc8HACb0TVfoHEBZnkSWk3/IQIplxkIbSsBmZPqNQS9hxr4XO90
C6iMq0izHxvgdGmLCZkW7hzDj9uAr6v84vMoeHZqin6j1829DerOVkp6f4J+V1Xa57CtNj3RTYng
4+W2fqkBzLMA56mCoDdO3cEQTL0BuJ6XVfaGhI81o5JVaMf3kRrvfbm+tchZgz0rXzWA+tQiOQSA
+2K5vY9T/boSRL8UtJ+eCttXdcCFfRoE+88fEUyialgnarkrwQNyk2xzwQsMAAfWHuMGQRJs2+5z
qpaEU0Il6oAN5kAHyWXfSZpczMpe2uhgCWXwhE1VblJwhT3pa84U75kDr5pkumwE19BKS1RL1W4o
uGXtlOCAOrn1QCHGhEjqpbFpQCTWerENQCYqWnDXgVA0QCnSPElmZOksOwOGUmd/jRENKYK+OIFh
9FQcqGAZM8FnrAE1Bnm8C1EfDQAcHeGQR/kyU/JSdiMgj3oXLjOgj5BHdyEQyJct+d/aRISVvFeb
PJGHiLPyT7UJv/l3baKgKWRWDFMC7O2LnvhNbYIOhkn7Xz/ht15rEzgUmkm7Xah/URZbnKxeixP7
k6wI24YGWcihcLH/idkC7eIvte6LwZKRAe8OHgbOjfNYCy3qshrkac/jYYs5Voh4okMcUUTCPzc0
+MriWiNGU+8e+ijdFfXAbI8qBaVKGLre6NNKzGyFPFlzIYm5UjoyRDPlUNrJzfTF8NSJAWzz3Jtl
Tcglo5ci8a61VjIPWYcDYuy0clkMXXmEOrWI/OCuAU7fs1suQ8fepo261SvlezyMd32Qbi09PpUJ
VEBFXTsh7msngmEdplrBvsXGTLw45bqsEwHvMLrWDfM5svTb3pQe40567juRDeiBaBh6rHdkqH9D
bUhsriwdG2TFcxD+lEFxj4XboS8WABamTa+gZYF90bUMwtsxvwvS/FI1fcI6mapbo966ZYuMyq+I
rz/44cYstCs2Stid3vMkYKTZhamArQTejzTGXE4I3NISyL3qPQWZcdMZXjCTo++jL/xjiXppk2EL
wJbpTOfXt7nUQJJpSZlrkyBZDg1Mj9LRynlljtcp9u55YzFVqm05crUkACybtRasNH1y0xBvTO1B
BJEas57rjb+OA3RaqcTpspUiISdQkWTjf4xGHUFWaKA8y8kyrUrBGMSW6sYQ2LaTVF3l9UBFB3tq
1Q6gG0E2zSutCcE+Rsa69Zwxvst8yfIPaj2l9/AU8MUkKfEMbtJN7qBBo+2GsGdrsb/XIOmGgP2w
qWA/pkSSHxqvqZ3HimDAb+AKLAmBQeKsGV2gE6pN5WTJzLbrCYCHr47ZstD7/JBOanhrU1BUhBGv
Eeo8xuGQugaQx1OvRypSuhYvz2jfOFm/0VLiDyuvhWanJOtKUW6l1lPmLT41xpVTtup6siJSnaXa
qkEe1RlWV4pNRAXdYYCKfMMdwKBat3IYH8lwkY15vbDbvrjxy+5rDeRoZ8Vqh300eC6UgBabPsqA
VJWjRD5GM5NB86WSwRDUadp11XrVWoXIel2aZUImrZXdxCq7aaGEgdvpxU1uN/OmMZnUtROj4tBY
DyYBIK0nAfSFn0uu8ggx1CE0XkNfm8L0WBgh5QU8JXs5hp65bUb5y+AVbhn0d1ikC9KC5XGWIwWZ
+7oDtHjQpY0kOf1jHPWcS6bSm4d2k63gnMRPMVabdQI+dIYKbRv3wbDupob6sHGEQmyC9kBGdXXZ
a4q3RwVrH+xuPNYI4DFkAtVCwMaTmXYc7WV7mDeINw+SPaGLVWKa6wiZFv/uRy9efzFHeW8/yjgr
V9mX6tsfo83Fb7/uSYr+SdHEqVdED76cb/8+Lwtskqzi5JOF7/5FAv+6Jxn8hEMxwzfLJEVQoVf1
uidpn9jgUMBwYuYQDg/+n+xJaKzP9iQWes7dJsM+diVVk8XP37SknMGQCody6CjFtjo3hC3DZl3f
mMKq0b24NpqyqYDujhJuDhytbDteX9bRLRR2TOsv3o9M2ECysvAHGbMu9hAovGhB2h+2EX8oJ0wk
0GwilYruh8FEI7QGOe+L8wSPS4UNpXnxpNhNA3zHaJAEZxIc/dnkT9FNmnOmZEWNVDeJZYKrFXL8
yIiJgmVRJDjocAquySNBuWu01l2mdBIIasztdwUWYqJcjGIaXT1jLXKluszgQxb2hRZ3xYOWltGD
ZBTGGgEXSCSlSzzWP8W3Z4kdhYephggAjmhKfdcOTc91chUKjpy6qRa1oBmt9GiZWXeVYnlcVIgw
dRjVWbduJc9gFyntR5XQlwl+gJNPnJ5aE92FHaLCiejbXkmKDZFjatJwnVTW9JSqElwPXx/rzB1l
DmXqsnWMiKdf11oI43anNSuD7Uiq5yGElQdozYqyiMEmLHRQOUG2wOGDKQeDTTcJ0kGvTZOzdnyb
/2wsKn9lUS5c1lUXPWpOVl86Vm0B/jEVthCcjTep0PNodYF7WuJqXmSS38kLvxaufN/L23ITqErr
nexQjR5iLJo3g4O3maN6G0ezPpPDZC1rWWPNJLvwok1JN2HYplao989mb/vPDsrLFQRuD8J2kIOU
dVA+1FI9smADWIztsP4caEpRnUpWS45MzezflevHykVv7f2Vax4++38qpPnFvxct85NsKzJdNBnN
IGSRn00+Fi3UAYKwaBDu8sIweV20tE+UuKL997P/97poqZ/oGGrEYciksP7TLt+fXMtYZ2A8YvXh
kbRkUWi/WbRCnvo6gHF9gKeZEl9AehU6sNY04m0acvPCE+kmq+pmcOxV+OfZOF23OWP5IKMPAXzt
SxxkrtYwmpHLx8hKFOUCyAa5w1EHAmBWd5lzSvNm2vpam4SbshnVGwh4krFRarmSZo4jNafU07xt
PJoykhiywZTr0IKLgNRmSuonJ/PN/lBpRWVc0h5cdWaWPEMHgEiVhS1tM91uo5Us7GjOizOtKcdm
oyO6pv6YgnhaeMJ2PekWXAWrDOSdKmzZVVlGYKaIx1gEA4nyVVk1CwTQ4c5oRn3veVPBmZsA8i9t
DWeLg4MHWcXS6ZDge20vAtX4AiLzEWL1U2TSzYBEmbo4B56LJn02nVyh8k5L/RthDtDz4XOXfr/J
JtlYNrHUkljom7NOlTmO9HGruLbTR9DiG/tekSg+nLj3nobQ7Na1lqmbQPLQ38Vquo6Vyjpifh5w
GRblSoej6VYUN6SVoQwz7AIwaMWR2+k8/AR1MTfx6tZ97c3tJt3ZrYNY16usA+3daRPrnGVClJn4
IYOVFZbprPJVrDOjHeHPRp1vZfG8sJ1nWw+kld1N60ShOYGZcDV6PbN3hssz34PaRd72Z53Y8Xnc
TwhyTWOVKw4c6wbnQlD1x1gb4FcEFJdOYgzzCpkyVIlCPcl+HF9LvaFdZaaZPUeyXm3TMszuYZBV
mKJLwtu76MeU79/zv8aE/P1Va4li9Cmsn/60cvHLryuXqn6ChARrAZqRyZyawunvFoD2SWExYzKP
rRjxHuf815XL+oQmDtug8/O3XlcuLMqETgm58f8DivL3BgBwDZ2ajehhiJfC8Px23TISWbYjr5pO
U3Nf2t5MnDPeXBg6X6OfZ2/Z1OIv/Jx/iDBbnb9BlomuOlRzLy2INysjRwSzGApNOdWDhEtvaSTh
rDbIWF+//zq/fpLfX4fN4+0nySWlKKvQUE6GyLOq9r317f0XOPdG/PZJziY5vlJmKrJ95aQO1qzT
by3ne84Zx5HwY3cLkBtu3T0U7boNLxoQl0r4TCno+xdqftlk1z698KbcmYa/sDG9+TrIzes+DeaD
k35wKcRu+O4158Z6ey20UPLIgBfXQltQJBKReN92oYtT4dQT/eARqBiO3y2obSX/1zbDD2aookP1
2xsgOt0wZb5+CvmzGWoGk6PpZGs8seKgJVacKtnH0H+xFxYEfbhORI9iE9mgO4d6ZrT9lZL0JnVa
TuKYLE1uBQ9qphYI/ZeNLzxUTVutkvSzmmrb3pPpSalSpNwOWhqttNjB0OfZ2EyiaFFhSyqYw5BR
sVSakeHEuAqmU2eGi9RnaIsxHlbjqoJNmaoXsNiBmH6uIXf59U3t2wetSaAKmvMOKIPak56DZN7C
WDBGxTw2bmBUlnNTo9WEhzwcFbcl/8SS04VQUpefayyeI8HhZZ/h8NIvyXWMhnTVAYK+TQ3gmBq6
9ty5aXRzTkQluzveCCP0dRDepT2X7VRf5HHyAHJjlqbgKRwsNfPY1z+QnLzInX8+lqLz98uDr589
Ln0IiaIZ6ukkr7S1t5n2zb22sjfVCQ39vlmzjy9AQ7pYcZGIbElznA8P0iZeNit5ZR7CZfSBlUI8
PD/fz++PLwPet7esniStlYpbNo83WFJxtFaIRZal/MFy9Kc78+1ydLbg2WE6JQHDlZNEbOTN8K30
XTgFujrnFPX+enFmqP7xkd4+BOcHWT5/pTmhegoY7l6QetMOLgmkfc1hyPVPsAref8E/rYCQfTg9
k3ZLMXz2laL4HSwr0dRTH6Grmb520sX7LyD+wPl39PYFzq4dTVnOkL6qnupu3uJr6SWXaecHn+Kj
FzlbZZ3BMSeywtWT0+2mctuYN6r5+P7n+NOW9PZznC2PI3s1oBlDPQk7zJAAEjSvnOjoIIJ9eaH/
7uroEOK+qfPvzf8Uf/kpL8Yq9IPmf//6z/rHv/3nXMQn//KPxUuU8mX7XI1XzzX+llfQgPgv/29/
+Bco8mYsCGT+8i0NM+QDTRU+NSrVzMsr/EzWFGqv98ujfRvW/3H6GtbFnwokfv21QALIjXQDaKQD
FYeZBrf13wWS8kkD0qLRbZE1NlAWhdcCyfhEL4qSiR/YHAuFtOO1QNI/kU3Ir8ki0vzlQPh6OS5+
3M1cyf/UxvHrQ8U6aZNLyP/oELMUBqBnD3Gl0gGlH+afCC+Z1eou1D8yiugvUvw3zxVWEVtj2AMa
iBG2/VIHvl37UiWXnSJB/Uu62IYzkbMcCHepllY6HAZtMPu5lY31amIzXeDnRQehNLZxrRIhmHMa
ccyDVVkOxmrfKw9tJdmlm7aaWR5MU5IHPF4kD85lYpIneHnyIi96GQNxkAKOBky9GmiGrSoSlxY9
Kv9VFejlAiYDG6vJlDXrzIsI9MqKOFF53uZMOULJJ0TXr3LczllKQsR1Vk3B95Te1lL7kW9i18AT
4ZiI3BMn4V8LpdDRkAR6KmvXzUtQSlEO5WUz8C7CEoEVHnaMXsFnrVB2wRAgoE+IBYqdeKN15Qql
yr5vTWVmNdKxDbo7I9ZuSqe+rkitgkR9ZxppRilT5jPAAvuy0he+Xu5JBwOZ5ceEyWFu9wdz12O1
JC8Vm4ufw1qkPShTEk2YuZl2PxRRRHJaYhE6mJcnrO/RmgTjfTugAzTjcRcUmoWvBReznSjPQZIn
mDydxYheY9aw1lPXAbVuhsFYEcE67cqx2HWetBrSeN0AEl+liVHNCdp2cTMsyj48YPiiSNNIG/SD
YjVN1carwqsAsvgqyoxs7uNFqybqSb9WNlk9VIsqwL9eNbtAG3pULLL5NHZxTUIgxi+mkcuh4FYd
lHCh052k35XNU0Kbh6I89JhaZkpEmGPMYRbjPZxvPzKuDX3MQUvrxMpleKgzz1HnqadzzhybQ2l2
EuM0MuyYwq3yRH7WzfYbADAbnq+Z7jQnRekTxEZ4WWR2yqBfDw3SsZhBW4q0dehDrJhNPcVSsJlM
Bm2KddtwCE4Cz5zZMBG92HZbDVFoal92GdhB5jawlxeYktzU7OM1OXYru2/Uealx4Y3MWtdyd68I
bGOBEdVynEd6vodcJmMsrIYtp5qLiT/aKUgUgDVOugJsXvqi1sqzJA0bJmN7zZPWjnU3eI+5PW0J
07KXRuQvKsu4LeHHBt3wtaPP0TZ2g3YmBgMyXvhepLiaGuMHiJ0H8JEPGkoyMEjK3tEzH4PfiWBc
IC2BG0ytBuWwXFqBdIOH+lbHJTX4FAFGQPZuh6qJCACaix1hi5Q8EIyguXXKXSEFN7ad3koFHs6s
X1p+8V21hm3pSNthkMkuj8wtHZdVYibtzLaI0s4VBDat3lzpfQRZfBAmrEdGrJh9NQ5bBIUGS1Ur
CPTWh3iNkVZ9yHvb+lzbeVgRKz56t6ngNgyeBUpgSJSFDu0eaGkTzMsfpIfGJx6cBMVSxZnbCyJE
VxjhsdUnZGPJCzKiLQQ+wn9BSZSCKmELvsQkSBMByAmpVs1FB4TCCwoItYJL0ehOzc2MzbcT1Aq8
/j6jPeOqkWUswCVsC7+DcqGAuyC+7DoV/IuozwtIFTAxYuAYJowMvvl52UrT3BL8DJu8xIMnmBrD
RNZAbOZfdR/UnVmOkDdAcPS6cSMLJkcdjWTLg+mIBK9jFOCOJv/aAvKIAHrYEWhhD8SHyK3XQH7g
/KalH0FBaL5bVX9KDE4OPh7eGRjUBzVql2CfHvOR08ULT0ShBeT1EWe+OrNnEaqlGvzIOIYuwYSL
qFS/pWYzrApAJVHWPXSaR/wf/tApbB/rRl8WoE1IgV6qoE4UkCdGm90bgoGCN+B6SMZ9BhylKZl5
S3107wfjJgSf0g3DoQOn4guuipyYVw2gFaanDwPglTzSXRsQSw+QRemJx7JI2+10h8UCaAvfxiID
4jIJmosD1oXjicGEBNJLA/IF7x8NPkGBiSCTgNfjCgpCjJ9ZN6B5t40G0rwO5Qd2gl0pqDIS0GaC
GJt1Hvn3hiDPoMVZG6BoWG7mUjsQmcmnTwNrT1YriQH+VmmMB6fowHflbmHHJ1QQaxQ9RE9AvUnV
+ItkS3OjD9ctIaKzsvW+yIBydKWch4KcQ0tlq4PSqQVTJ9LrbQRkpzLMRw/9TEc0gd501x7Rr6g1
pyVShhygSHAhA+zxZMg9IyIaWY84WwL1cYD7lEB+MLFM8xjsTyf4P7YgAYFpIEdAJb4zfDS9HLI8
zCBV0IOyVFYA7Oj9BcJTnJOCMhSDG8oAxC8l2T7JgkTUZ2W5qwWdqBGcIsM0n0JBLioFw6gvTO4X
wTUaZQYsmmAdDYJ6pL4AkPpRPeC5876/qc/+KnvedmnOqm5KkB9YA6oQdCXKOXROiQ0lTTNPOkYR
OZB3sfNVN1b/tZcQldabRtDIXWzGjK6PskhrsE5tcRqiD04oZ5X9Xx/DRHRrkChtnFOyVLUd094J
/ZMML8G26GqRm3cDB+b9jyKE+b8WbA5+W3BZIq9ITEp//Sh+Ho2aFXfYJpDUlVjCa7IjpfK21S/6
jhjLmvhM44dh9L/7LLF6zo8ok+pfzw7/Xx8luLrvHyUOX+AM/+EMwi++HiLosjIf0pGsisr/BV37
9yGCUY+qMEy2HMDRvwy1rU8MrlXIKqJRBdyWP/h6iLBEa5bGFffRPw/8+e0QYXG4QW4OMIRpFHHi
v94vUA/aMjXH/iTnF5WvL+Bj/LM7kt4khxCT44oQlDmGfnakNXsr1loLVFWtRyzsd5J8cohD1deK
xy2J0Hjx5kv4w3oBvu7XZ+C3VxTPyJvHWUWkG7JKtWQO4ti2RwF2H+tcTRGX5DVsmtzedo1R4Lc3
vFltLs1oLBelB9Rk0aQNe6CfmY8DTeONqSG6HEtCupU612aaHeyNPLnLbDV2i0r+1knxd2eQPhOS
fJGTqYQuCa1S5EMmyiCAAG4LkKSwgs5S4FpkPZurekzCpYGTGCZtmK+8cQCQMYTk+VYUZkyPCNtU
Q8YlJJK04ZXddTscyPnMCru9VHp8SxERuZ4t5J7NXB9hmgDc8YiGpyrQ1nmuXHQBGwWcjExGTB5H
/i53YFVp0m0lsSt32WM3iSCPYN1ZU71QCNYIG32lF/Y2CI1hFph5v+QwV6+8YDxAVpiurQbVAUID
xuzXeRmYa5NWaUSy77okLr25nF56p21aDfkpoSXYcJw8ZumETACgGgG0WolU1N6bzPlIe96j/d4M
MTM/xwMxEx/HybxHU2USvyuQxZq2rNTwSTfkb4mUG4ve0A9DoW89YnK6uNg3Xr8gtH5DRtCFPJVu
5rHPDoDwxmHf2lU+b6ZUdn2j39WdfF+2KgcO9P1pNt0aCW1NLx3jY9hmF1ncrIjnPcZTvJXz2JoN
4MQ4glTs4YNN0k6HGEgnK62OrFsmm6i/JdlfqmlB7EHbN6vEU+tLm8iCfUI4zLK21V2SfnOk/qQH
9lXdVhBemL6SBY0Bm9hcLwkv2ky67rsM2g5fC1kxCzt0kOQ236yAqZ5iRpcq0b5Om7aYnxUiuUVD
drxs2pzlnBGC2eurvuqWMqO4hi05VeR5nufXU6ZfpF5JPtSARLxJ4u5qGIMrWKybisgFu7A/63Hm
DqRo3QDEoPUXVt8zbBCgV1fkTTBLpdlMOCVHpO5Z7v1dRmB2qSvEs1oOIeuR6WpayEG/Bx/vXwRh
d9CNaF0a6WqQjUUCgqMdvF1d59Q2KICnBk61dGSHn6tIk1koLkeMATgf5JrywVuiFbzTq5pgY/Ii
yxjPRGYk4zomHGxTJSjpQmyn2iht43q6QWKBKjNpjmGVX0edPI8idrQWCaHb2uoXp42+RJZ9yMsE
Pl5E0CtS7hEIUY/qzuvs9csy8++mp1O5vLPp5cmX7A87nvitv3c8BdkDeeks+zLQThFp+GbHY5KH
91WHE8rWw49e22Y2sgdHEboq2mqYZt/seEiLNZQLjBUhflhQUP+RjMsW6//PGkkMGCzBu2a/VQ2i
ac8ni7qdRpXequPJbvzqworG9Aq3kPU5T3R1O/Zx/DAq5DbZzIkO/UilizAomCtGN91ZTt9cB3Ke
0A5Rwh0aAG9hSU21yMIy4FwpH5MkcA6dEB0aQn7ISJzf7ygM5gwwBSepGNaS7WwHFctS3QCHA0sV
P4Wo7+mq9B6hbxwgKuTMj2kQ+FtW2wlpaxPNVSGPrG27oJ8y3jlq6QaJ9mX0UmtL98leNrnU7zIh
tKzyHoKMEF8OiXxi+4WeEMax65hlPGOJR44qqEGO1tDKiiY0vHYUPRej0uvMA6n2p8n/bkXFQzD4
HinaHQ6PYhvlHFJJf4s36uT0nMos9cJX/M9yPBKuoFVLvcguDcT9i1BupFVj+tN28lttSy6JtUi0
ZKfAntqw1ThzVAL6Kk4yfdGRTQOiq7NnoeGDFk1Jk/Py7nKqyJn7P+ydx3LkSLZEvwhtEAG1TaTO
JDOpimRtYJTQCIiA/Pp3UPOmp7tHmM1+Vt1WVSyyyExEXL/ux6u8zcl12fNKs/ESZB4Js8i/TS0k
/n7iu6N1WnyfQMhf4ydmkQtvdT25Q3Wo4/bYmelPMNUYW8HBLwdiugE0doyjelZL1V680QajWeda
pm9Dx9inQmND1kQEPPpdoTL6/+aueqPFNL0ZlfjSMqkvkxCzmU3r2UCqi8P1wbHcu8Il3JCN487s
8x9mivH1TGUdVHcT92xtXKVJ2XrUUmRiJYdKQ9k06cdxa6hsFZ/HcTK8eL2IbtrWpmSuLE6tZXzZ
tuxgmA0PfYxVrDX7bGk1Eazf9Isb+fuykLvess/p6N+gnO5ig5NuziMjcELnOoXpdo6SSzEnauWo
YuuLpVPMnm7sqVpXmfZEmwLt86MgUIYfbe7Cn4XZvFsDU6sfex9U6OzoLXmqfdppcOqyoqxa+Ewl
KY7bOrMpzGMK6T6Et4ztlo2YE8rx7A8lOopbJNnZcOqGFrEpl8fKDy3M8c14jmhZP/zvYfzLoSZY
cPyHh/EvhHSA1+efR5DlI//4QMauSEPG0sX966n7hwcyj1bkfQQLgs4uH/X3B7KLO4RmK2hR9jKA
LHuVv48gzm/sEG2TEln8ZJCZ/itfLaurvz6Q4dPjkaOqg9F1+VL+fGH3Qw2CGQ+2SzkmEmK808AH
xv2f0/SZNJa3YeVg8PrHkJ9nLmqkrQ61bXz3kt5BWRTDkXp7C/Q5BEqld/tIRhuAXjB1Gy7tsgSC
1kX5JnXT9yFsiG9iLeMajJk+V33JS9X2QIxM/hXC85PdkPGrB2uiG2M+A9h4iiIlAz15DlPrsWA5
dXGXNKNcco3dknDUUbSPBaHHUESwDn3/zqMGcDV25hdx024bmdrwWNb+nhHxlFbjtNXHcqO1431t
kG+RVX5gn3Dbl5TFi3pn6y21U/Z4LtzmgeIi7t2TvGltd15FytpltJBTz9N+TCQomGiifuPOUxNY
SbijO+sB6/w2HgX1E6JZtU2THPrc/WkYscu9cAB0URPtm0mLj9Bbu7HYxzIx1iP0t3XeLKGS+T6M
jGlvawbfmi7pT3lCArOwo1u/So6+R1MOnfKbWWmfaZr7q6RGQItkshvmIQnqEOyu1mcgaWMtwbVj
bbsc83BUQkBUS15lUR6VdZ/StyTbT9OT3y5/XTfxLUtqmqtio32LSZiSDiEhKlxFwNEyQb+lxoqD
a4W5GSdDLpLAmdq9J/17tk/yWhfGTT2m40YH9AhLWLZrZmhzBzj/UUCQDLLeX3ua/UTfsn+s+3RP
p2uydurwVl9u1V6YbcMkP7VSXYeQESLXd/lQbiV2XQ7/5NkXrYCWS8VK2GKO8fN6Oye47OrpxZTF
VpT9T8F14VBY/X3fQk405uGLzzxuRiv/6t3auBDrwYBhTFC96U4Ls/jGx/d87q3m3WhCYEmNYR6S
ZfqMtcLd0Mvq25upbOuNPoOkZVpt0r66jXrNPVbLLDv+GmvdXyOuVWEgYZP3yUV/OPa2RU2Xu224
byze4cm2iPmEzasviDCCl2YYrfgUAA+rLts3AyCUzuZb7EXhTivi+cmqpLES5jQEVuU+eLVzUsb0
lcd1tkaUu8/DODo5c7+ZC8qv4mFt+ClcFYc9CFTJz3Su/IOS7ieb/4jBmTCuTYEi0dL2DmAy3+Lm
JmQkXCNZV0fp0mELtXBVZ2zHaCjgFe6R1h4nPmLsaWoYoglkYPidV+EV8G+3FoXSL33cycDpMEmE
c36quSJtZqib+6iDVQ2qmrbU45CaeL+BkKfVvLTBKnWOhQa2HR/Sl66H2aPURQXO20MiN/IYGfR/
p9Ov08nm+v7vT6fHJgGRMP3z0bR82O9Hk/kbJj/dgIWAC49ukT/MCtZvziL6LhboxfH2/+eSYPNO
SseFpksKcYka/uNc8n/j1/H0eQa2ax0D438zKJBS+Ou5hEHMZ49v+vyHL2URmv4gJGkEEZy6botr
yYpY3LRmxz52WrqtUXamwfTZSXG3X+Vu9VH3tB9IOlpHrXygZxhWpfs+9XiPqy7aN2GxraukZGHB
lasT7q2uKHLW0o5exmoUXHl94m3RxD6MbdWKrPatpoVZ0PexYu0jL+2kPrXlmmj7w6eoNLmJuX91
PtdB6SWnUSyEWT+90ar62ujSXsvYmqlNYweleG8QBmw+Nclesuma9z5RW2jK1BWa3rs2Gtt4UOyv
x2jvuuq2nDPWsHCkV3Y9vA6e9pSrKQ/SzHiwbPUSYYXf+Z7m7QxSopcomeRGGL4C2Js1G0CPb647
yx2Ne/3KYwRK8BlJUbOInc0HdKF6RV3V3Wjqx0K3v4QqdlYzvLUiOfGwySC4a8GIjAL/nT/t7wu9
eem4NcsRMaLMohfZOi9+yjVVrnVhfbS+/9GY7aWZk2dbjh8Z8x0bCX1ec+O4kvykfdAe9kWcaKtU
4a2aNWo1pyx5aBPrluXr7WzVYZDqrMgnk25Ou/aKQwrTdGUbKqbqQVw1e+Dp0oYY4jTO0YjO3jR2
ol2qdQ4cVELedadvvHZ8clrtaA4Y8OigO3qSLbbuF5cK3DGo8hoXW1Wa1PgOGK1TuW4SqPsVzU+7
zI2bdapTDeb04bixO3MBw/O77mSSXR9+hJ5L/qO7OnqHVlsOAUJZvWsEeg7dHLTnMZYxQFFBOkQr
McwsMvTmQKSP0gNTC3e80cJgAB5BuOo25kfBn2zeU8KTTm9fh0g/RKk7Bo6Zsl7DEajE3jfYXGWz
86RowNaL6AdH4xcjvxZks0ktZeeAN6j9GLT4/FKmIAYiszqGbvWsdV1Lp/DwpPlkQ/lQrgtccTZW
nz1MGnBfy6TV1DDkd9Gi/CSyuhGTf8kEiVc1jcyjcsDZ0A+b0UNRdAFn815pPG4CCaSJpbdUQfzP
iBa+qZDAICd4yG2PPICVpc8dZOY8eeK6warFT9wN7zWqOXr6/JSrdmXLOGgPhPdHwwwDC2QDHeY3
omRVW6SJtZ417Y47BTz6smZ7axa3yVJaTymkQ9uYxWY6mrk/ybdsrPXltfYgrKM2fWc6q1UtIo/q
thtrGtN1HFMxDm2DMttvTEHpqnLFdzPrr37rn9kE3VbT9GBizl4hlMUbZ8LoNRX1fdy1b7nAH5tM
BwJP7A59EAUGlhBee+nKa0XQeNO32TY/I607DVLdgS68UfQib6m3WM8ZO0wfoJqh9xm+hMFcpR1S
ZufHfdAo9V0tTe/5OCyXbPctqZufmLH1VSvBLJtyrFeE0ohodrSFk5b1gjwVLzx1a6JtuB/73PlQ
pMERK+Ek80A+tVoz7qK2Y9k890cFXCUwm+jeice3lMF+VYkMJkHd5psq4hbYCkiFBeJiDCefVeOD
smvKZblA5CNXCRK+cB5Ku+FNJ3lLeM5N3iTpRo7hrcytBcUaQjjSoocwpAmg8h/8UOytcfICp1wi
CVN+H1ZclHBGbyPl5S/NQPl5OCChEzknZ7a8se30mUQhs3E/ZFseq4Idf/w+ltKh2CHZErk98kC/
n4Ts97VejGsOgLtK9CZShb3uGah2sZ5gC24twcVLPlKqe8Q6IoKszs9t3N8ltkB4wHgbJlbLbqAx
NmWU87F9/2A7qbefy+69lfAsfNK/K7M0YxK6NaaWWfv2hcF5ETfJzvO1OwK9747Fe7vOXQ+EiacF
KNkRjpi5ZG/pgwKT9QtBvzBQHgvlYqI018ImTGWCvvSPmju7KnUqRHS1zRc/gZ88M8+LYAjL7YQS
Ruu1hwDfFk0wWCzR1YjS7bM9Cpw+cQ6WNZCKE1y9yZ7zpsEy3In+KZ6yu4EzMVAp6kxit+mK3EcE
Q2Pi5ea52bpL+TWIL8m50uZhnYn0Bh+yxIPgDmSKiPZqmfNEJGdHxP3TlvYVZM/XSNCPxEmKkwId
ZWgwXDldeWa3WsMroqfKo6TCdcs93riDyquGO63ZsdLW5QsKcH5oZ0qUTd74eWk9a5O4kLz5HOp8
64fpE4e9fkqcls285x9a1rIkYx7hZOwtrR1WoDZGukMkqUgx7EOu0ovNbSV7AWsNaXuNTPmRjFKj
lARfeC2reTtJ794Ii3pjL9Dskq3/pqqIXfZ5Fx70Znpz4Jnx8+zNbZZ5j2Pp4m8PtWMSRW/Uoq8j
XEjo1tVO1pKPd6urzNC3pa9HGwxoHxU0mS0p71ehJzDGa+eqd84PSa9iWC2lw5H1neqDyzMWkohp
Aq33RojtjosZh4T90tU78fJLCS0ZyQTWdzZenba/9UWWbNjfkAvSeGrHkwVJzeXW72jpm16aNxk1
FoFKwjSo++qU9PSqCtXsphm6QGfZKVSjbJ9GpIBgeHLeKdJFtUmfrUybfEM51WccQUqvvajZ9iRs
A1n0/VrqUyCzeXmqOs8FrvxVFJEALWrtkSzRU+NjgSgTP5BDfu5aDHhR56kgaiXjq4gflOPWeHXU
oYs6SmF0/0mU3TXKQShZrRo2RaXBPnB4P1m92o6Rlq/NrDxo3JyWIKweDGb7XkXFdYQxHfHd4ghh
k+HAhsZm8jUwEGqV8+3o2qPG8LJ2i2WC9LNvd5n9ECc++qk5+Zzkq8m1P9re3RF8hcUUGcewtChE
nnsRjE72HBVFG9CEYwZeB6tcK/DmvOtedOZiQCk11IKV0aXHym4MFn4pJYwJJBVcgivPy14jsrar
YkgfjYZ1FPvMe7dgTWZCWxH+8DwuZmcnnhmpK1luakUDzGQj5hVZzT8HFAa11xgOpRRUB8ur52Gn
y9w6D3jffSOO07E8MKFGmbWFMvFS9bx148a4y6MS/OJk3VhOohbkTrOiYOLBSfgZ2S4uExD1PKeb
8mYUTbltHHE0PPWRFoyRkHue65FiwKLTn+actogpfzQFNpIBH5R0dcr4UBS8obRWPoCItcy7c9U2
21IHpK1PLcQsfDK8atMvn7tx3DsMqWP5NRfNcfZp54ma+WCa5QvhRggT6VPVoxu03PLcjEdfXPPK
jP3BxRKY8EV27k4fm28n5krnypEMM3e+HsNckqcvcOMPYODXcVa+hV72nqruIkRNNpLqgQiIfIhQ
tMqtmgyFez/Gxma0kVHDWj6MLW2gwj/4toYsnF4pBqBtjwbVycKQFOabpOnPbEQPwEuC3NZ789im
xhTUkWtmd3k5Oy+TTBzIvRoctrvcVhiMJs9hDq+0/3k0jL8ppDiv//0M+hC/tertn0dQwUf9PoIy
UMLVAzNKqt93HTZZv6uj1m9sq+hV4XdA1C4dGv+YQrnfIIwuEilOjcUA/v/qqNARTul5+VvrHh9u
/zdTqP3PeRgBumCRWnEN4QjxkWj/OIWayyev8jq/6mhnlMF35GDE8APbcbRTtXapYiwDLb6wLDdH
tEJvX09RBZnAgH82el+yWyxj/iO73zygM50NieVXqzZCPfSsvZd3W0eFm2I09sPAfwuugANvVmD5
r62tAirVGWbx2LVj/Ra7nN6q+3K5HQ++tVEalWGTUSG9iQ8Hy3Y0+QlUEpkFWlJ0+7Rq9jzLTy0O
Vmna29lMNxBB6B+3+7ND9MjFAzKYlPFMjUiIQ5lvOVE8LO8vsd7bWzcMu6AChbNr6JUJGPth5zjt
0R5xdHthdVImblkr3WRx+hD2TBtgxOh7qca7Ekgf+7JqOzhLNzpf3MlyTfqsvAFxqORyhcZ28a38
00zwN08mj9KEByHG5fCxySVSUzeu9XLQELTSm0zQtpwQnd2UfZUHceWSvhrlxGTtbWgxPca2whM9
5E/KbjTyreW68+Rd3MRA4Vn4AVmIVvSx3Pil+VjH3c5U4x3GD23TLVZV3GE7ffa+DW2xTpvl3Rjz
3BGe/5qmxj0IbrSxkHqULreKYHKsx7lIXrOyXg85miIEMkyMSXJmED+ltf7dtrOzp7QPBlnSTZu4
dWA1hNYdoMnnOOXrjyZw5TNSW+BUYt85mFer0hLQ5rovmWYHyjXWA5dCkVD+NSnDQQHn8+iE4qbQ
L1HV4xdwRfdjI8ZAehVztdXtoohbTV2qiTHOt9dDysfllvLXRpGJXSG7i5QebtGQn3vLAGcwaehF
9Wp0yVmlyblJ/OSgRQYWcK59a2HSRuO3kxmABaLTXVW70JK3hLXP1Lm4yObc4KI2udVT+VqndbKt
c9zdXdKsRyZjZ+ALpdADkGLOFd7Qr6bZBpU9LBlr8uFRd2jL6qnT+p1sS2hlcgtakrb7IgHT1Pb+
RjgDNI+c9jFP71+Wm0Hbm4yi425Iqgl/LLJG6Sz1XfyrJvcq8eRwTegfvCzfKv1Yw4ftb0It2U66
f4jG8mLY5dXs6Waz5wvqgb/uJ9CEy/qi65oAi8e8NmeKzhw0dl6gScg9DCWm5tCXJX8pxR1VAL6r
wC+MIFLo/Xecjdl6LCyq4BaLhJW172PqrAfpscQdO4rD6jRYGsB3RmkfYgNr6wxyr4HGZnE/YGDa
4c1mZTIiEdCyMmx9zcOBgxM8GmN1lGGWbotefHY29t8uzj6l1b+AKfmY3YGhrAUkFVnDdepSTEEE
2oNJOQrEttnTmtmVZnMyo1ydePawOvAqd5WMdW2uykId7BJXydbCom0/9Xq2jFRQtXadYEVJI0xp
rEZ3bGZQRgy+G6/UBDfJ3rS8vaCrnFpFCyrTLUrd1D34emGoh8FvNOvUjR01ATYoypdmFmZ/yVS1
l8voWaXYeeQyjibLYFrr85vBpNouI6vKxqPgIrltlnHW05yT7Y7AQYkG0VHnfNRStriDHIB5zMOZ
5tB/16PxGPrsHK1lbM5Kj5vNMkpPtvxZheINQqe5Vh5DIH1532oZwC14nSvgxjjtl/G8URCSJib2
qWrXY+IDC2eWF2Vzp4XdqfDkzz4ZoB1SUjku8/gvGaCy86C1xiP2alsfMF+71VuSUTy+MFyVaVNQ
v8gKStHKaKa3IXqDlk6veWx+z4sQ0Ub2d9YXP+CPrLX5aC5qhbCJPCBfZCOPHj3WkTfXI9zG2L3R
s5yaRSQPui4O8S8NZFFDauh+K16Mt46bUeZp+2zDEE+IU5nrgTENV1Z3Qy0KFrZxGUzTau+WNb4q
EhE7a1FkKsBitAO5m7nh6obP91Fl69mOns1FzfFoJlzHGns9L/MHPjnrZB/5x5qpD5tBw62tgQl8
WFSiYqyGDVywc+Utjgavp2zNcC/JUN50uQtYrQovPimTtmjZD6g3xx+mDTv1h2mRpgDW5JtwkavA
Sz6Fi4DVDeWzZHWdahlfIxpXt4hdvOsErwFIUXhZtKBBE0OCfOIBvdUrssRFrDApWHu46U/Yz3da
gqzWo6+xU7z2XnXv2/I9WQQ4lqu3QifEsUhzfSnCXTgbTWCj20Vaz5GwSHmm7adEWDJumdOSDCqD
1DNr1NVkCBLR0lXaXbmJbEtT/egLY19lNeudRT6cOjFuskVSBNzHRj8LAWZH/K67SI9ORmWiphk7
ZiTvoPiGBmBCLnq1DOtol13JOrJ2/KOLqkm3rE6SiENwETy1ZI52WCdOOci4YBrcCIW1zE+RYV6d
RTLVWrggqtSLw7wIqtQsGdyJF5HVtSiMSq5xl+IDlRjPS6YaHnI84Li9z4XJW8L2ria4C9qprILy
r/GD6PUzbQ1Az9wPutc+RkffVojAchGDo8pZK+ThsKhedOntLdE8DMjHtHgRiEFP1vP4ZCIwR4BF
Otf88jNIJQjQ86JE+0p/KBdtutTsLc/6OPjf6udvqx8WMv/+2v3K2+KfL93L3v8Pl26b7CTASEKM
WNa5Pv9+6WYlBP6aGzf+MZf//f3SbXmwJ3AQu8QrLQNHMe72v1sSPC7x1mItI6jJH/rvVj8YHbhU
/9kjhidBsL+ALIbP4a+XbgygaZmb6XipVKiteKKwSmwelQlBJ11AeLNRysekN/KLqYrioV2AeZpu
gFiYQ6gC0PQivGFqVQvr1oKmsVF5wUPeTb+smQNSLUA+aufe/Q5En5yA9aEZjlc/iqqAuIMb+F0o
HwV0v0YH86fg/fXQny5FVNNTsMAAjcgtdx21k5uoBxXYGsZTget5n+fcw1Lf2lXQjaG8AAAENDgK
omvOAh/MFwwhNvWfmu6g6EEoBNeaPNULtDBe8IVqARlqC2rG4FtwSQwv3I668vecfvYlGmgCUAVk
iKGiTB6oK0NwOcMAjHDQ4dFciSrl/dQV566edpmvvQ54MeABdrDAUIvsuDrqnQBJHekbM+qPWaOR
ovJ+8N28kTKkvV5J3GlOV6zKLP5p9+JtdBB1KaF8jurseXnWbKo4wicWJQ9KYBGzcg2xszTge0Zw
JGfiMJpTfFkRIsRYOkcHN/FKIbYCLUhpxNPsaBuHxNxpd33lB00S1KkepBbeinx69+Zkb5ED419i
fYZTe+WW2Z+5m+DEUJAv68G75XmJDyWcb23Jj1RV4xqo8jUrrHfTap7nIfvQwopKxTg+Zvl4cQYW
gm61aG9AgglGmQcc+ZSFwavkmu1fGDRVYBZi77TOWY6Ft5H0h7CBil+raL4TQnCth16sjbOGdSWj
RRKvVeB4deZdrElPrXcClvZ0cFWbbVxW8xpR0IKdQROtCXa2K3DgX1rLeqBbdHtt2v5iytGaaN/o
fX6EhtEwniCumIVxhkGfYkjjahPqRryObC/ZTXaGw5HWPrwN5n0DOz7ovQYtPso+ahN3GES5aZNw
E9vI1N/qOp41J5v5JidteKBFCIKUnVHfxxs8oFZ0D2v8Pi/LkVe2OIye366WIO9jGYct9cMEBGTJ
PGun6LG+w04vRJsTesnqNfyaWIslLPcOmW0/NiqEGleqgKhB4Lr+rWgxEJOnc5DOOn3l5s5B8xpx
cRXyF/EAFQCyJI7aiIc+kzIIlX3WsREGPt6QQNfsY5N3ydGY5KkWuXGoZcJPSVGjZb20RnjRhmg7
4OzYiiFhBm8SvJVFg7Wf/Sw73LVX5+9xbm89WfFW521SLTZEk7LaCl/iuBgUM8311vliWowX+2K4
GBnTpI6OpeAG2XnhbV8jDaa+szEnf17lQGmhaJMkDpltJwOVmlwChslppjJ8MVHqtRLsIKXYTVGI
xXIxW1Z1eYoW++W0GDEZAmcSmoa2E4tNU9bVnaP5zXbGwYmt/YWlkHU1U2CmPP0YARO2ljHOT81C
qF+soA6e0NpNo+8Wl6gf8za+c3GO0tbHjav85Sf93/n5N9kKL8G/Pz8fkq+m+VeyFR/1+wmq/7Y4
onEmsML+i8satrNNegiFBiA3Qd9/nKD+b1AyPRdnJyeb9Sc4gf8b/muyQC7ZE/Jj4KD+AiP4T3CC
fwFwFq7pkvnBNqGbJginP8tWsxUXsSkT/YLfG7BPMUMIMH7K6FP3MfBhpGic8px4fbdKBt88DxW/
3pjuxTHKS1dXW+K593lH5LSdCXtr467N4peysXdYeu+t0rup/FqtWvfVcATm2VFtZjc7KZukcIT3
gDt494Ro/AjPh24IX8+DujbUWk+q1zDF92WbJ3tKN4VRv81YrI10fkGjhk8wKqScckOa1WXRnexb
ElKrtJxfOHH3Q5wlAeWuS3zmFd790+zJs5/WL4IpCGys+a0xNeB6/UFXurkSnb1tfG07u/M18dFo
+JftKj/tKHooad1VHFuozjSLDgeVIM1rXPKjUuzcWts2Ld6SqfB+1APC3sLxP8xdZqyGkMNAzwmS
DtreGRIe5xRCQtAkAy9o3TP61VA590PV3U+qaJ5ye3rLKxRyB1IuT4Nn/Csn9mSw7PTxJsoqezVE
rrax03KvegC+Y9edhGgP2NslqpN9nIxP4vc/o7B7mjybJ4/AEYyO9jPT6TPOa+smd8WX5bI1If74
9OtkwTfBDoWQh2pZU05D72CUnPZpO+3oxd1U7AO7lu9ZFOViPUxR6jRklVTf3KpRGfEmdFO5UzaB
JGLoCX2+otLVQXpetFGuP60NU5GerqXeoHskAp5n26I0veV9PRxSZZuKGUcfi9VoDZMIClPSep0L
DrOYiAy6PR0BNcY6aX2UcVPTlo6LzBIs4cjL8n8DcfK5/cAaLQI/q78X/yrSV7qeyDWtXGPqVxxn
9+5cTSfXcm+1mE2pMiv+DjisUotf8lG8lt44BP3YP2CyiwFyVYhatf2ZVu03I/fXrIio9G7+I3IE
LwXL4iweaakA59GUWrLBSW5thN2zpmItZ/nZXsTNq5fZaktFRL6xQ+91WhZulXA4bd3hkwTS0uEy
LD4CdDfOXi/QUz+6ySPtNnrNe1ZUHDJj+im4etgFrxf4AFhdT05JAkFWd72Ftoum9FSJpFo5Mlp4
CCvYh9hTdec5XAiNNr/iGcNzNNd3SZgHk9Da89C+lrbN2T1p8gQAd07W/FXjSmcJrBETw3uHpKXF
LW2UI10GAz9xiA/3gMujQxbHp9kpb+emOo5l9e1gXw1y0SMG11PWfPzvXPnbucJI9B/OFYnD9F+d
K3zU7+eKCdlmeXBzrjB9/YUKSHAZFzmWFvFrsfH3dQiTGacQarTAlgd37M+Tmc6Bwt/FIxAznWP+
N+cKKt6fJrNf7CpahYXpYe+zPPdXe9ofTHlZWeVVpqf6hR0+iQN7CR8wx3UfTdptepHxeivCbA9n
DqnE8H+Eqo9XISr8mtDluyryB5cg9srUzXWnlM51KnnvNP3Q9vWZxp4oaGwwNklN1t9hdZxZxk82
pNGuNYf2VNT1oe6jwJqTi6W0Q0HYp82mldG0pNBCaqr7CWXIbb19iV9lHrS1a0FKHxwZSG2+Zk4X
Biwl7wHOvaJ6abzzyrsp0wxsgKyaY7AXYQ8kiw4D9sTOiQ1lnkw/8WeBKrXT+7ahxripWbLyDC/0
Glc7dPhJSvNGr8QFO41Y4bY8zcRb+7I7eW34WfnDKQFVZSL534mx7oOoDCGuoNRgTX8dGnvDU8N4
w2a+VAx467ltfiSm/hmx5eEoserAyfOn0dVQgGGRSuD3WBhupjyKNwb/hlDPbpK5emtT2W77ED8B
/VBFEJs1rBk7xCrFDqQBHUKY6kLk+CeAiWUNbZ5Hr94pkcmVz9C76gG8em0E3MC+ZGaFFW+Y991g
UPw6+z9Sx992g31DVcJOVx5VSF56B9ZAoJ2NZ6+deQB5+mYIq5cktq2gN2vOBz/7UbeTi59Rvdjz
cKLuoYF8UXxLr7kxDSs6xxnO9piDoVTOhq0EJenK3Lchz7u2jh7NvDnoVQzh1VX+cXC6agO6+rOM
3IconHZdNoybQhbHSZq/QrZfo6iWJxmpYvXMr+1LiYVf9B4jnQnAIk7VlX1SfvbH4pFZz8hyxFuU
LpSOdWyFMVJj+821ZJ+6zc4hphRAGIy2/MEbo6s3lWQw1jPMlbT0PRh9s0vt7FVMxs6PWPxXns2y
ja4uxc5/XZYFMMeYnh4mP6Eo8CTNtZlil+EWay33m4Z7VN6u0mIpq56snRnJU2YLip/IombYN0U2
HNOYou24oQgPhiyx05MiggG/J3Gnjy6SzXNMnyoYbh94kSNL996sKMWMoEwU2p3ORe2+nRb9zRiT
rbL0LVYXPFZm+J1F41do+3oQS3aTeu0e3XL80TrNu8q6elVJeUfQaafF2Z1BTAL8jB2g2ayrER64
5fZ0UujN1rPpSrRywT8OcpGLjdwa071Uo2ANj2XHz905SPuWC09SrJUct5YzISqA7RnHn15ILM+f
nvhBw8VItcOUaOeyjndxph1KbCgOQ2uU5mtfC/cYHLaZVwImIYA9ifloVerZqBtIMpCsTPwCPWYW
VnHpGUdRxkbBhIvi7gb2N0VV8AP5oZp0N43dltxx0FP9AxKTno/SXU8F9pvEfynSFIRJE0Oy8Y01
SyeoWwWm4Dkr9z4RQ245Hy0ZYJ2CpGl0q01Gos6qphvqLg5DY2EYMXV2LsPAz9YmFY4q1TYfXdNf
yB2s21Q8YltjZTA15zkDKCW47oqMd6HOdrUeDX9LB8KD3YVftYO64vfFQQFED1q333MJHgOtJtht
FddQn3vAUwnNRURovKQPYtHdDG55wgWNsJvlqAPeK4oUZg5vT6iD/bS+893uyproWTerQyjGrdMz
oWZpzvNvLFHbHHlvdb4Kkrm5CJ3LY5Tucx6AVdLfhs78iBCFw0jdhWZ3bOoehA73/ZE74TybW8dp
NpZmHFjV9OtWljNPYWvr2+qkl/PWK7mV+hj960p/p6zaZFfS/bQSytkGpqwD6JOrQdNKFUV3xuyd
fW/qg3lmgefMw1F3MoojsENlVcTooCX+wYrsbgef74oGtc3y6Wr63rdlzizqqnXLGqxtPI1VExT9
AQ72pKqrcr2ncXH+FraN6bGw/4+989ptY0vT9q1szHkJlcPBDDDMClSWLfukQEty5Zzr6v9nKXgr
0O7eoIDhDzT7oLstabG4uMIX3uDM+1CNbyPNHWZe3v4MqwadMflL3KREstmJ78DnRtLlshlV+rnl
T4Di8N+V/NTvMaYMx5tIUZGfaqMvnMDzKjUuSsnNCNecb5JZfu2L/hg9V3r+TWLB5iBOVSiKR0B9
elHR8471uuYY1weAR7A46BQX2EiZVRV9aWOpg/BBv3whjXU3tXt7HssBYGPKO3mXjLM+8+/1Vmtm
Q5uBkSyVjTOOZ0qJnA7hggcoWKHSMlJK0oqfVg2J0amjNboxHJeIH8zgH33NQvU8S9RLMApYsYB/
6/3qjhQXOhcdCGk4q0zUsFXOr9IC3ob62E0/SF/yPruOA8JfoESznGoKag/dWRuh4K2PNoR4Kitx
EzYXJc3luQF+YqULwzXTbanGJgqOQv/CW1b9WDg2EZIStTZq1EhqvOOyVQVaIIOjOWfKVTK5NRbt
eTEdJ8nU2VxfVmukjebZtF4FJ8aym/mrbOEfGd4qXPvL/wS4T40H6gi/D3CvH/zNtgDX4K9+BbhC
uhGsj/63tvWv1oPA+4BgFyxEyidC8PEF7yMf6BAebRsYkGUiuEFY+tJ6oKaCqiO8E0cV7PR/5nxl
KMTeb1sPaMUYohAjlFnMR0rma7xPGrOuYh7jrHX8qJqFGjaZhrwK01Q6amIPvQ7skwzRIHTb5rDv
BmJH3DTmSusc1UZkTnPqQgsvHK5tKSuWTZhQjlcCiCZmMg+b/M5TewryY41WwxLTzkaaaVLzpbJH
/XJIwm5pliaWOfpgHoa9BUFO1aa51ZZrEoBmYoCRxupQ+VG71U/ZbepV3qWnpRri2Wlm1J7p+F4O
Sn9Bl9G8KEgW8UHp0A+Oqb6XtgmWzhFExwYI0uDkzgRxWJCqET6djbRSQsudhzDB8JgK7pVU7ZtZ
1VIsqtOw5UDipvTyEcdEDb+uyE2VM1cNKek2Kf+G6+DKUmJlkvP2YxCnkxLOD+9CZXsk2gEsIPqg
Wke1wj0LM59EU13VJTxQOM2bGpDfsenRgMjq1qBrGV5mRjVFqO24lWRuLlPD6jChqTH6CuWrBh3i
huis9E13LsOSycfqyinLFYAs+9AoxvOyi4YZ4cpXrbDusjI7LTg6JqXig5U0znFtufZaCu5dV87a
yPlZ5vqh3Dhro+rgLlaSSQNGt5Z5nN2GXXxkpsG3PqyRU3Skn71n+9OmdhZB3H43UuchT63iUNGJ
U8MUB8bUZFramFhA8z3/JAg6QuCiCqiTgwIdwi+RDPazS7hJ49TocUhzAM1yW07GqvpqttU32wTX
o6vZPPICcNAexk+g0L5kFCEWiYy2TW+b3qyS++uMrz5+BHsELf4O2MagUYJuy9TTm/NcoENkgRMp
AYzoeX0Lmf0+oca1cDXlPhfYEjQ166PUVQlVwJ2g29YuTIFFGYvK4+3VftnI1BDlR9BKIPArua4d
SgLR4iHmMNXsjI0A3GUA9qIDf9EEDsYBYD5XwgoEuln9hJRu8rQYrLH382kusDTBaAGedRFfAaIG
loE9Aqsj5gIChePCz9IELqcDoOO1BJ2+3Z9pQHdUIDwEKmdmZONPFSwa9TBJZm63dhiz0uurXKCA
TOBAUWJ+teD/gNOKJ50WDjMX6FCEmacsoERpfWsJbFEGFWeShbkzryynnGZ430zqEOpplK9VtVnC
kbmpACtFhXdSE0WuFGBMAbKPKrAmvemoHwqkU9n3Z0msjke2HH/zQUUZJrAsIM3WIb2jE9WBxwKC
KhZQKluAqrIoGgUhEnFEH8gVuKvgsAGFpYLGUkBlxQKeZQuglgliS7eMr01ZnakCyuWjMzHrBbwL
tLsxKwXkyxfgL6mpl7AEANabI4EiCLHOdL+OAjJW5EAX8Uzl6OHvyAdoktYx7sHRoTuWD4WAn3HF
I2zkqCtkFkYAyIDUHKZ12oJbU8Gv1R1phSYgbWTJ+ixqS3MVgXeDyHesg38LYNwgDQgkLgYbJ4OR
G8HKucJYrxTwuaKOJcqMyqUBsg6TdYFcSi9UAboj3KPq1CxrAccrUtudq1V7UYLUc0HstX5FbU5A
+JBJCgSoz7WSixiUX28F0pEP7i8QAEC57o9MEIGtFwOC61VD+LHF0FK6aB4LCOEo+2vkM6Hq0sCb
SWX80xvda+ygEHJShDGHACP2fnhf5sRmGTBFWQAWqbar01SAGDtPGlc1uEZLIC/GYrwYBORREuDH
yPGueiR6GoGKBB3pOEm70PPyCIa/zy3gQ1YQYEqNPHYamygWIYV0m1BkQ8t+U1R9gDIFYEwbVCYN
2BsVlOaINe4kVRFtbfVFCY6TZu1xAK4zrNx6NbKIpt1oBhP6AMvBUu5G0KCGx5ndgw/Fb25eKOUD
8de6Bj86gjOzBKC0GtA2B2GaIQKLzCrENbCnEIJXFlhU2asX8GxWMqqinNw54ldAfSiVxNN+sK7R
xVqPuvEQ1RyUgWZmcyjuKK8OPU3eYK3A7J30lXNWOgBVVLCyMesWCgrSXJbAeLSqREuxvIDJQfIg
yIoyrEXuznKeBX4zkXwojcg+m2e2oDlKFuSZsipvAxiQRoohDUooN4pVfwsFSbLkXEDJhaUBD1Th
BFFAudo/qOv3y5LuGs/3owxR/03t7L4SXEwnhJqcCn4m7rnGzIWyyZ1HRYafdbl/XAtWJ5VwQnV4
nk7S3LuC+Slbxb3mp2dh6GCNLdihNQ4wiuCL6oI56ggOqYdSycQVvFJ2WTF1bePUR8GVDmQA4BV5
hQw66oCHwdzinBQ81Q7C6iCYq4EUfo+gshodSYKfJEvcGJbEEXwHbnulGNglFi0p+ihZh3ntcxWn
MIGo/FtTpAgw65WU6ky473lDAhcuyqZ20p31FqJSlQTfQQsIg+v8py2lwMR051uHNcZcKmDTQnnH
ZghVzxydSRn5zAvoDmtO88px1zoFHz/QDRhPDVglhDWdAhpYnFFEKAOZ7gKN03YE5uQU/pMbwX9k
ngTi5g9xdAPnIkkfiJrfyauLv3uJpNFHF8B5i8KuQjImMPC/Imn5ALi6YlpIUZryo3jIi66IfQCu
hqafoj7G0YLa/RJJYyCjKQLjjrAhzLJ/1oI03+mKPJaKZZRFTEV1dMJyoTb1OpJWWoP6E/ogZ6Ph
HyFYRRUuI26J0tmYhtmiNUDyhW681vMYAqCGcXKjLIO8PvMbKj9xOHM6FRi5BM1JOeqqfBM1+je3
QvYnrdf9qJx4jr4afdG4krJh6lveN9T9LsC7RXMzSTYUw82p7g/cFXGTT0cFFnEyxOokjnzOo6QG
X6j5x02T2Scp5RTbF7VAGF+Tkapq6UQ/TGBpmqsQbmDWDhRiQu/wtlNaAQbmdII0OVMb2oqRgnEz
IO57M8vgCBBPTUffgq3aRsohwMGTurYONTe5hpX6QNlqXemOKH9cE9xkyHl4S/A2OMCMyKW05pmR
WUdxjVa34xs3GiKlWAZ+73xzUbUYhZXoOE06xz6nJYTaXXYWdtFp2IWLXFJcyCuogGAThpZCKX0F
FkE8PeYz2QhP/HLsJ6JfRgxZHyL1Bo42GmGfm06ykELne28l50bbnOgg50/z4oLm3CKhnMy1cmYZ
lH+1ntyCWk+IBqJGpUFTfFg80m2ru1+5GxdmAy3YwZJ9pcXJj2CgBSzJiEPRN0VMIjwdWqauiJoL
uXepVURm8qXQD9ERwaKltlF2IlJvTz3ZXrjUkRE9Mbvp0LRXPp1i/jfWvxTEZnWRfml4DBehrGkU
QG4DPLU0Apm5sZUp1LbjouV7CEMJpp5sx7NssAFkDtplYANL7tx7vchpMpjmtZ6ZlxK56BQb3BMn
QU29MSxUunMiRsKMS4n6uRHWOrqT1Ov7IrzGo+eOlvosdZMLJG/uw7T84jmUx1BRAKfBh1rlrtLR
bHTxnsl6b0rosNB0oa9i0X3IgmiRB81sBMNljBH13HYVqVo8T5seQCz4f9sw8plu0iiQrfw2y5K5
Q/VVGL/70yKGSEtsRpOxV1Dxq9DTkWCvTMYebA2uiPkaNRqUyiMYuA1MVRnqWBbQ4Ah620YJkjQw
LlEmRviQIDOiDFrdBqZ1gn7oZdpmwdQKcFmTlHFcJinM2NQtAaQPcMVQgfmep8WV3fLFG503G4zx
VG7ce7eVlJnWGpdObl82nbvqNFJMxXUPrUiyJwaLfgKPZ9GPlPlKkirAARFoow6Zx7AoaVOPw8bT
xmoKCxvqKjM6qaXyiGb4TI7IrAfq5UqcBGcOtuXBqCbzIbpExVyhvAwmd9xI0bCpW/Pa69vrKMa4
t7fPIxWRUODSMGxVeJFYH31BSBwKKCrb/lgv/KE1jygMduSrtcHXDmA5lYYN3+twBIIJNwRAVTiN
ajNV0h/UvlrHsrQGipfOA3tI5yjFbTIACkNeG1OS+4Gvi44tgFxrMpSQV9Wiu0qsLpsWVa0sXaTT
hGAXz9PG6axrWIH8+081puM8GLE7iXSReMfSJWoGD1XCktDNJICxZ93kZXFaxYihqor+kOfoj0nd
ogrhGEtqrM/TzqLyqpDKyWN54ioInIFjmmHkaR8XKR+aDKglX02/6TgoL2CZQ5UJbAd9C4iOOHmt
XJgXq0wZNoWJKqrD0QgvdVEgFj9FK2491v5ZBfVlQu0NAlOgXWH63aGXhPBPJS8R9LvOR87KTLlS
vILUZgStJ2fWBkDlUW76RyofbtYFtOYNubmRzFGZAgMp5nEIyK00WNRR5X5rzfFbWcO/r3Rv5cXS
CtGhZk5RJEKhu7nKbSWZlRHfrybhb4FuxbRDYmbiJUgplLTBOeUz3znjoFuCtE4mql5d46L3JVLr
r2VhU42Mmq+6M8qkcJ0Cc16l612F9DFs35gOPrly5iFCHSvaYVmFV6mpLce8yQiRlW9dBP/fiUOM
ypxwaju0FrTcnDil+qU1L7rqaHRvO1Q0fO0CNYYJgIUv0E1vAmwfANXUSzPNTtUc1ZA8VqqVHJoP
Cgf9XMFvCoI3WxvZkpVkAMO3zDGYxxZ5f6Drs8zpTqo8vmxJyyyMaSc9OL9xUK5SAxBrRnwYeM1X
sHWQf4v6qKhPW5Pcx0B81qOcjkRtMIszJ1iqRQn+swy+KsO4jOMyPEFygWhZKtfOYEkLxPajhVb3
4WREWgStU/johisMrLwjHDbx9DFtAdXJPIQIhkZTVyRUDxgn+esurYFrwns1rK9hBpcK223Uo+pi
HE4VWPpTv+J7ttCZXXl2PQ/g1SDgVR25oF3PFHTCzuSRtMqtav2wtfxTekG2vYGGQrWn71XOY7uY
c3mEOFB6i8RQ1mpuHHIaHZkuS8fWURmp0Y+QSl37Elg5J0RbIMRRSSvoqKegabxV6ssPQDUf8Kb/
wZUDb87vV4MMidxGQx0RQg39hkmlKdks6mOsISNkKjx/qcohbQqXxBefzFu/T9olApXhvCOIL5QK
TUTaDVhhiBaleewx2fkPuEeK7l6C+V9JoE3RTLXOtBwORtAkyhQyxw3Tzy2uxA95Hx61qmct8qK/
KCtzGdoVyBDNShdpL0cQ82Th/U6XRym627Tu0b+Irwx9mJmxcZM4xflQhKgojBGQS3NRBjE0ByWB
49Fjc5ZfI4l8x+F6XiMMOMUEniKaWVyijLbggFOWnS44HUoFqwuQrjXSMDVrmmZhckaOBhbG9RuM
yqNhXvbApTj345lvjj71uArSIu6WuYlvfJCpmxFr9EncddhcAg3C7/SUIPe2LPOT3ooteOfSXAHc
aHT2N64WBB6AsRbtMTt3Zano/hadL4p4gsQUrzuFqzZSTgK3Pnbj7Cvpz23n4maCy8fXSu3XWQ8l
HLcyZGVw+ANZ7H1JBlxAFSk+HIOjUi/XCDQs8k6lAhXYF76Rc0dL5k2Tt+ux9ye4Vv2IdQMzBYUM
SRtOYGs2q6EcqKH15jpRbChsCQehRNPVCFDLMPRVlIGVk8fjptQ08LSAH0y0k8MuSc412nEz1C4k
8MVwjlofKa6WOuu001V66Uk6TPPKAiM6lquKyt6slMMfVkcMY/fNuZVX2tIp22zpOVV1khRoWBda
BwLBsjmUXOQ6cYtx4KITc7o1m8uIKRlfm7V0ZAZWsjT97NAh2gKMl2shVtStQ1XgP22Np7bGH/Gg
X8jCmm2AUOMVIFSxyZ4E0pKiNv41r6W0SNQMYUoFFtNBavY1IFQ/cMjEANToziM+51VfQzvgMldJ
4TTZoh9B+vQPAKGi7/WGUOFYqtBcBJaq0NDXhSjvK9hOL2OLXZZpczrCyQEfKUCa0FaTpwXyW1Ms
Rf7QPnEox8CwQwkE3Kmsv2vAKUg6Fmao50SGhnMT+QV19MSKh3FFxwU1JK1OG/0Q347xKqQFioSN
on8NbXK3PAtxfYTAfKxYCXRYqzT6czQQLrUhI0syB8+qjtsorLTvbV+YNhp2RduiSgfQotXbAKCA
FGNxF6NpH+R5ps4Rr2hQFpSw55kAgkewIBqcuYAsybMqvTNivTu1yD7P9Abu2FTJaSAvMrfXpjG4
WCnG64rSV5dpZ3KrGNFJG4dnZR11QAmgZ/jOOSyZB6PK71MuJbeSry2YD2mnLQ3JzLg3+BQgDmnD
ugsngd+ZHLrDUMy0KAlEo3YWD8VP3/Yvkf84VdT8Z6O1V7HicePqZfjNitBQdLyoWUtWXp4WlWEe
xQFSs06CntOoYuUnSdpPPawQE3R9+TSti3yOoxMe5bFkzNXOXoNVOK3SqptREqM4Rey8rFPrZlCk
21gFk5WFPuiYuvZUsLGo5bMsuPABfwXoJokhahUwglnelHqt9TPTTv3LCv3DeYOWLBhdub/VAUgx
i5icTKoICQ5dKmHmImNZ4It85EuKcvqqFHL+tGhfO5KobLL3a1koAtCk0dkcLOu3a7kYysLzoBGc
cgFtqDUqVyjkT8AU0NlNV5DdAJnOk6U1Rxd6YhzpC22urtzpv/QjRH7g1XMgzaoJJWvHofIho8P6
SGJ6taeMHll3r/KzU0L7oyHGeDnyCpe8hmjEtiJnXrQuPF7VLAFg2/Las0r3SOE7MqMCErk1nDou
mtK2On6v+8xZVCoydXWdL1x7/G4ZLiagLnhYd+y/FjG0XbUshqlVhdqMYi38RZ/yueH3c/QElp0C
3M4dCSJtF3y3sxo1Wm+qutQR2ZsUNQjbwAGqlaQrhGxmGTy9SSbn867zTlSUMMkQkCGFoDRJkrCa
sYlPOwrIy8ITYBjNu/G6bAUjcE1qJZNx5ks5YqFZTgElWQ6v/vwVvz1EHkVvSeVQXNAd6kea8+4Q
cUa1c/LELU/lFhtXDoKYD8/dLgX+3MhAXOuFt/nzWz4CF/8+IT++p0AWvPo2pb61yjbyqtPC075h
4A0M26NdUFkrPWmQtXcR/zKppljAl40YkRTEpYaTsWxALUnGSRbYt3KAxAnaoz9d6M3Ywa7VzLyQ
3fHO8IrvSRcUsyIt8v8YbT9Jixh8A78vkX5rfvANfyiP8jcv5VFVgaHBrSqQqqaiCfWQX+VRhbva
lDUHjsY72WWHn0CIRMdS5Vcsgb99KY9CfwRUojj8SNHtfwg0wKryzfHxqIOP0L6JvAixgako7xZc
XJe13Ge9fFaH2S0NOmNpRpp0rEoN0ayt5Ii5s+cAbTmnfeRWiwyh4Gld6UdlZqCrkNIchCFknJR0
dlGqiHB86Mxl2zVXsd3n63KUpnlL47y275Q2Qigv6VCeb9zZaHaHjmsvyJPkGR4Py0a4HKeOaM52
+k2Xlis98NNrTtlm6uX5ndnZx1mT35SKnk/1BNUC0yvu4sGJZlmFqlbRdas+73t00zI/vZA1tClD
XT+XNPPYRQViXneyO006yUUVtqTzFZO0uPXGarw7N7HxMhtQjvWGvDhEDiGBVSBd1rEdnzso8oJQ
8CE5aCVQusGyZm5ACYUeHFbA7kBlVi/npaPdV4FJiF+c2nVASuJHt4GqXdeZk8+kUH3II5rs7ujd
lAhOBzCzGmQdJhA2VyCu7uHKpUDh/VXkoFsih+sKb7ck9Y7D0blWQo5eYxTSnap8nVskgyNfQu3n
9TR20dlSa2MzNFUPPq+6tTtKnVUOFKow0IDQ5XP6XsrMd4OLwEFPTEo61IGHQS6nAzB7Gbi9DOwe
zuNxK3D4WlhdNibY1x7BoslYIl5lAdsPaejT+oxnFtKCwqUFdGYKHgahyzquImSYy2QepJV95qj5
sIxxyJmQLR9iEeOsvap8UIuW4sVoeRdSE1HgDow7B/L9aTGoP2NU5mnlmMjr+6HqnJIkelP45xES
ybgo1gZlwjRO8yMvys58KsqQuu2zDjnTqWlSLfcGhCQjnYqBkh01pXqaZzlWJNpIZBFwzyhNBqbN
kJZhjygX+mjfzdz/EkVRg7Y6jX/VpyOg+sybx+TG9Aboj49fLFgnipv9SEh+GrwpjlCIvFDs/Ccl
/Xnjg0rAI2aaEp1M5brUDs24OMzN5KivjbnuaWeDEp3pGtbKjnC2kbPwq9y5N0YiVStaWNnUl6yb
svYMHls9cXPiKcmmfE2DNpwAeLhMhvpIhmBYROFlEHhzs4m/dXL5A1+JDIsW5H0G9NvsMmpmJdx1
rtMUWTwm19ClI7Af+tKUudAbZ4ggfVgnCGPfcddrs6oevuaa2kxaJYdJL4r+9VjMhr49jNxRBk8t
n3Zx98Nnruemlrs0noNikqn5rZbmaweMoWlni9BH1NBW3btaxg2yhCUlxV2BvwyMyihsjvshKgCr
xBFeSMZ9LaDbBUSmxA5PChc9tCBPMDQgRAj96rsdFsdgwG+UaPyiSNUFz0cLUzcmTuesyz6NZzzw
zBvbbuaAhLaLHpnHUb6sHO37UDv5maf7MUZKUn9EMVY6pAaEGhskozYqrvRGevDz6NI2U2OaJ6gn
An92q0PXYpSx9I1VQl5curRTQo30PUnUi1CmmGBrOiIXSoUBRWZF0yRjEQ92jLilZ4EgEuDYDqNV
149pYHv9RajKMAoM+Q71pXD6eL38f9CKfH7ErZbNv0iB4qfnGeKi19n8sWf4yvT53/qll+Ry+0DP
N+2/5wEtIvY3N/fjgz0+0B/HiTeIQDb3uExDaMGngHub8PrxRYQYZ6n3/GOSBucAXV3snIVRDe/1
ao5+Nwt//oCXH+yxP47z+4d/HYlgLPP0TE9Z86/5/Befnw/498fH/AGApInwtfz4IsV5//Fp/JLL
I+Dw+NqHSUAp4n08phC577gSnANkpNFigcL6+OJd3kwFBn/4FinwoZ7ixf/jlbBlEuTdtwOrHXgr
rXQyTfHaMgkylA5YeU8Tvn+TIAjIO68Eh4gcSY3nNf/+TFDlAwcOHF4p+zkJwoR050mwDqgg2iCT
taeN/2ES1AOMJNFuYYn835+L23bD04P9s8NRrPe/T0fKqYoKj5fywOOLzO7tkaAcwIEkpVI5N/dz
EnY/F3FlQ7oHFQFczMXrwySoBwTFkEgVfrKXk/Ahwf/nYQIIKF0xQJcC/996LrISuBhsyAZ7Ogmi
LLDjuUjjgSOPu+E324FYiUIlNlLW00W0f5fDB5+tf74STLxHdEWXBXLtN9tBJmCkIrS3YcLTYbXL
wYgKl1Dtov/y/kSUWQKPMiBPAeW+nova7qGSjj8zVTpbe44X2fhvLgeF2NrRURrei8Rh2wX5dFTt
tg4Ahqr0FX93LAIPtUVAqe/rZhAKBjsfi3CoTfqez5PwfiGQONALpf4qdsteXpDy07ezw0rArckS
XTJVhAri9SFc1MksdI1w8Sks27+7Qdt9JVgHDqYXOqpKT1HCh5WgcCQgoeQ4T+nVvp6Ootm+86aw
UKQih3paDiIheXM6kkMRT9LeEMb3vPZ1KgTyYsepYOXb3BTy7wJoUWLCR1k25X0NoJ8fbIfzQTMP
LGgCRNDPOfX79SBiRxt2kv1cydm/80HdPYC2DrgD4IrDoXhZ9G82BZPgmJCSuUmets2+3he7lxdI
rdF+VTC1f38wkE7SdURPbl8vCtFA3e1IwDqCbJIS0vM6EIyaNwuB09EUKks49e7pElB23g1MguiX
60DP3n96Qmsa6YiHPwcTezoHgoi020Kg/QDuDkiezFBvVwABFYw6uvX7ejMqTw+2y6VAYIz2gUHZ
/ek8fL8NFOPA4M5AO2G/gwQB3thxIRA6WqBBDLAij68tVTZ4dpwHov7Ge+3f/ag8nde7rAf8xmWV
e4Ed8XL/vdkUQF8JH0zsY/d2EljCO64E40BDXYSa89OaF5Hx20mgUUWWBdBoX+8Gfee7QdPRhpfF
av99uIjxkibQvy8rZT83xe7pg3nAN02nRafd+/j6uB5MfkYPYl/XwwcO8j+vunI82oLdq/+mT03A
pKFdiLnX0wbcw+Nx95xaR+5ZVTUA0U8L4f0dwfGowrkmaniqRO1r5KA/nd673BQwyHXkRg3zd816
gckUk4FBxJ5el7tPAq0I4ZxOQrk9nWRTQIsn5XyOT/ZvUwh/vt2uS7II2k1IfEGHeXwRhby5Lqm+
ajaVelukGXt5Rzw3j3fZDqI9yZlgWc+B9PuYQYXjA8xdA4i8p5MgNNh2WwkaJQWg1iSN+vZsgu3A
D4kqhGIEr309Hp8r5LusB+sAjxwHv+znBPr9TcFUoLjscFE8zdXeTsXu54NyQMwAVuelX/uh2MAB
AstHJ6De063xHOfvsh6oMGPySw36+abgo749JLkuFTBd0GD2dRJ2r7WY1FqeWI6/OR8ga9Cmg42x
r5VHwabc+ZAkcVRp2T4nVh9OBiYBphuB9t6uhKcH22U7ECfTrtWZhN+sBLBtVF+FucqebgchdLrb
SiBwoqxmklH8JsUmcKJvrwBve6pS7+0dsXsgrVGHpBVpm78DNgGGxLAZquC+ToK2e/HNJpAG36WD
13h8ESm+vyMoVPMfilPita9Toe5+SOJyAWyHFfFcbdh2XVqiaq0+TdXTO+5feiUYyzufEjCfsYoy
nutsH1YFqHgOSupw+7oehITzbpOgaVSfZCxRniuyH0uyxNuCyKnsLdbrGa6/w6UpED74jJFGv0A6
3p8PKoxW2jWUHPb00tSeHmyHSQDGIFzYAIX/phgLFxgbNJm25r6GT8iW77odDKIjFYk3roqXm+Dt
TUH3mq0CLH5fD8Zn4sYuK+ER1IcYoaB7v/n04D4V6lEAQ5/XyL7uht3jaIsOvgzrHX7c0+vdVBBC
0sbh0ND2dSE8b9NdFoJgEBIqCPmc7btBhVjmUHPa3yNh94jpEdmEvsDLmt8SJkCjpEip72uY8Pxg
u6wEogCaL/AHf1d1Uw7YKgpllqdixh4GjLunEbQrNZSm4D9s3w6PaEcxDc9dwX9rEv6NX/rFPZ76
QXz/SE1GWn8bOfl3v/DC2/3481d000fS7ZvfFFTlpzd/IqWK//8/m/skSGdBVZfBXa0+ojVe/fQF
vfH4Ts9///wRP775mzd7+Vwv/7jCQXZT3iFE8MjFfn7Q000Ct/l/Y/7rfvOeLCty3Jd/206z/hUt
/3l0lMQfXgY6vP/v/3pSUxE8o78/6n//19uZeBV7/HHwZHOflS8DvRqc02PnwSf4/W17cNb+zmNP
N/Gm5SupXsZ69exEn7uPj1539eErpapL++QTBk/rcvPXNKvqbW/BobXzW8we4r9Os3Lr/BOP7Dz+
PP5rlpUsnpexXs0/d9LO4y9K7Dq2DU4UuPPgy/ghTV/GefXgn7FdV03yI4vv64/DCyTnzo9+mOQP
ZbCJX4b6++kFTHD34dNhy6QLxNnOQx8/lFvmXDSDdh86SL0tB4HyGXv1ZBNtOcMEeH7nxz7ZVNXD
tjn5jA16klV//W/qPcQP22bmM7boenPPAfwyD68W4mds0fWmDLZNzWdsUTE2ssxbHl1QD3b+WtcP
6X12F2w7vQQC4RPGL+8e7l8G+nveRTt798Eznv1lnFdjf8Y2XeOWvGXoz9ilDF0/lA/DluE/Y6ee
bvJtq+Uz9unpQ7v5GDsa2OW9fJYdYsezcsMR8DLQq6/zM7boeby5e9gSO4pi1M7r8Bwl6W3BnVAd
2Xnwy4DQsQrut8yMKGLvPP7V5q4kJUjrLctdNJA+4Q3SvyYPabD1DT5jq15txBuU6aa833qQCVr3
p3yKWfDgbZulz9i14kMs2AF3QXW37T0+Y/uK9zjKNkWz7bYSTNdPmaWTJqj+OvsRVPm2z/EZm1l8
jvWmftg2/mfsZ8avN39NNuWPzbaYQSDZP2OmeI9pvP0dPmdji0+BiOH48rh/n6lC8mL3j+BvtuaE
Ar+5++DUMLZO/qds5qCKgiFrXp7z1cR8yl7O4s226EHUenefGAKTbS63QrNg98HrTRpU8aapXgZ7
NTWfsnVFmWXLPSxATDs//R8NgB9LYTuEJ9fE+EG9JWgT/fTdH73hJNhyxQu+6ycM/kdDt11n5s8G
BbuO/i2Lt5zzgmW587z8QcX5z0+9rSz7i333sVj7ou647c/e1qLFb9zFD5vyf/4fAAAA//8=</cx:binary>
              </cx:geoCache>
            </cx:geography>
          </cx:layoutPr>
          <cx:valueColors>
            <cx:minColor>
              <a:schemeClr val="accent4">
                <a:lumMod val="60000"/>
                <a:lumOff val="40000"/>
              </a:schemeClr>
            </cx:minColor>
            <cx:maxColor>
              <a:schemeClr val="accent4">
                <a:lumMod val="75000"/>
              </a:schemeClr>
            </cx:maxColor>
          </cx:valueColors>
        </cx:series>
      </cx:plotAreaRegion>
    </cx:plotArea>
    <cx:legend pos="t" align="ctr" overlay="0"/>
  </cx:chart>
  <cx:spPr>
    <a:ln>
      <a:solidFill>
        <a:schemeClr val="accent6"/>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bg1">
                <a:lumMod val="95000"/>
              </a:schemeClr>
            </a:solidFill>
          </cx:spPr>
        </cx:plotSurface>
        <cx:series layoutId="regionMap" uniqueId="{D77F379F-93FE-410F-8987-394D8CADD19A}">
          <cx:tx>
            <cx:txData>
              <cx:f>_xlchart.v5.2</cx:f>
              <cx:v>Sum of Amount</cx:v>
            </cx:txData>
          </cx:tx>
          <cx:spPr>
            <a:ln>
              <a:solidFill>
                <a:schemeClr val="tx1">
                  <a:lumMod val="50000"/>
                  <a:lumOff val="50000"/>
                </a:schemeClr>
              </a:solidFill>
            </a:ln>
          </cx:spPr>
          <cx:dataId val="0"/>
          <cx:layoutPr>
            <cx:geography cultureLanguage="en-US" cultureRegion="GB" attribution="Powered by Bing">
              <cx:geoCache provider="{E9337A44-BEBE-4D9F-B70C-5C5E7DAFC167}">
                <cx:binary>3H1bc9s4Eu5fSeX50EMCIAFs7WzVkJRk+SI7dpzbC0uxFQK8k+D915+m7WQsSs7SVaM6Z6VszVYi
NdTih270Hf++b/91H23Wxbs2jhL1r/v2z/eiLLN//fGHuhebeK1OYnlfpCr9UZ7cp/Ef6Y8f8n7z
x0OxbmTi/4F0g/xxL9ZFuWnf/+ffsJq/SS/S+3Up0+RDtSm6m42qolL95r29b71bP8QycaUqC3lf
Gn++d9aR/JEWiVy/334P/fn+0yYpq2L9zkmrpOzev4O/yrL72GWbP99vrYPev/tj/HU7rL2LgPuy
egBiTE4Q0xnWMeWPL/b+XZQm/vPbmmHwE8SxoVs6vPP0tat1DJRvYOmRofXDQ7FRCn7a4//vLrD1
O+Bx/PXfH8P98DgGBHwA48/3d4ksNw/vbst1uVHv30mVPj6vonPS4bfe3T4+nD+2MfzPv0f/AI9r
9C8vYB4/2//21jaS/wVl2AHrelOs1QFwZicGt5CBKNUfX7BRtnBG+onFdI4wsbZxfhNT+5HeXWIC
1rtER4b2XxHI0cMhZJqeMJ0wxCz8JNN0jDU6QRQRasEmeCnSb+BoP9DjBSbAPCY5OpAzmWwOIs8W
x6ZlmORVvU3hZZqUjEGeytFrGG/RT4J4i+LIEHbSqFKHkGI4eAd9DBC/orHRiQ4nt8WJuY3wdI72
Izyin4DwiOLIEL5cFzI5gAjTE06JSU39WU2PTS+ETkxsMIvykek1maH9+G6TT4B3m+DI0P0rXj+k
xQHgZScYjlgdMVDAY1OLUgRWtc4fJdvYFt/pDO2Hd0Q/Ad8RxZEBbFdleYgTmJ+YBpjL+msnMDJO
TJNYhoFGAE9maD++2+QT4N0mODJ03U30bpWCd/7PSzAxTqhJQFQN9oodDc6zTjDY0SND+k1M7Ud5
d4kJSO8SHRnat3JTHCQMAsJs6Rh8JvJkbOFdnQ1v6sxiT9bYSKSn87Uf7RH9BKhHFEeGs5NCXGcw
qlV5CNOaneiDTOPXgl5geRmYMJMaI8vrrXztR3vvKhMw30t3ZMjPonduWoBJ9s/rc8xOKOKWiZ7t
bc53hRyioAYAb+0zzN7E2n7kd5eYAPsu0ZFhPofAcHIIwK0Tig3LNCGK/fQaAQ7BbcpM+GOMXOjp
HO3HeUQ/AeQRxZEhvIg2ySFcaDi2kW4aHEHQetvHAg3OmUGxOTLNJnOyH9ht8gm4bhMcGayrdXaY
4xlxiE+D4/SKMQbxa8bB82IjcKfysx/bLeoJ0G59/siQPa3i72n0UP7zpzDRQedaBiG7MktODMvA
OhjaP7X1y+zEW1jaD/DOChNA3qE5MqBv1wmY2Pa6+L4+iGNFTggCt4ny149gizNMDAhkP762g2Fv
Zm8/8vuXmQD/fsIj2wPLONsUch3988KO0QnliJkEKggeX2O/2jDB8TbBQoNI6fAa+dVv4Ww/8jsr
TAB9h+bI8L7cJA/pvTyIyc1PjCEjSekz4ADotmGGIWZGLYw5ZKVfqvc3MbUf690lJoC9S3RkaC+T
7jC+FdMRWN/0OQE9dqaNoeKEWxZjoxjKVH72Y7xFPQHerc8fGbLXUQX1awfQ2vyEY4tCoOT50N4p
INFPOGHchAqEbSGeztF+dEf0E/AdURwZwueb4hBus3mC6WPm6unQHU7dLSUNcZEhQGpgNFLSU/nZ
j+4W9QRstz5/bMhCcekhRNc6AdDAeSbmkzm9o5b5iQXvgW89hnYqQ69gu0U+BdwtgiND92IdHiAh
iUEswZKmOpQOPL4g/LElt5C34IZpWIyOijin8rMf2y3qCdBuff7IkL2VKpRdWv3zp+6QbsYGxLR+
lm2ORRfQtaDkz9Qt8KJems5v4Wk/wjsrTEB5h+bIkL5YK7U5wOkLATACZZuMoych1sc+8VCKDW8T
iJps4zydo/0oj+gnYDyiODaEU/Xur8TfRJtDnMTkRDcRwuznSTwu7wMHCREMNWKg0IfXKPRx8Tbm
XkF8zyJTYN9DdmTYX64foNPin9fi2DqBPgtIO0Fd509Yt89o/QQUOGHEAP3+UotP52g/1iP6CTCP
KI4MYQjdvruETqBDBD/oCQBIKfi/T1b2joMMGSrEIBJGRlL9Jqb247y7xASod4mODO2hRjlLD1KI
/wg2yDN7PrD3eMvcIpQhMMwfX2O5ns7ZfsR3ftsEwHdo/gfw/j2LWz966KT76+dz3tMH+dY2SHqC
oFbXgizVfq0NERHLoIgaoLb3YAzNar96N590+j6e9qP7knbrNz79xN8/lP+5HsfLTXEPPZrOP97I
Sk+wbnELKjSfABqbW2BVE2ZwsLaeSjxHink6X/tRHNHvAXLrn6Cnd0RxbDinkGL652EGJ5lwHSLP
xnO6eKfwRz8xCcgyBC9/qoenfuXLqQy9gu8W+RaW+3uVt7/v6NA9SPIQPCJoWPwlwkOKcMt2HprR
EWMcDtoxuNP4eQ3bF9SToH3x+eNDttwUm+6fF13wjCxqUYr15xb0nbiHcWKZFrHwuC/5EqrBp/L0
KsLbK0xDeZvmyJC+HfqiDtH4BiUAGCGYNfBsKu2cxIAzMqECjI+i1NM52o/yiH4CxiOKI0N4tanX
BxkwAGrYQhSmhjzHOPZIsm5AX/IOwtM52o/wiH4CwiOKI0P4qlhD/PIAuhpD3RY0QjDrtfECMGPC
hAZWaxy2nM7RfoRH9BMQHlEcGcLX0fr+IFqanYAdNWD87PHuk2E61O2hJ39qZHFN52s/ziP6CTiP
KI4M59s0Wr+wKl8NIkDK920DngabGlAe7K798WgYI0E4tDWOB/9M52g/wiP6CQiPKI4NYYhH21DP
sy4eDlN6CeXzMA/EYPgZ6bFEGxDkgq4JkPpt52mIDb+NsVcA37/OFOD3Ux7ZBriRMNxLyYfDnNec
6SbGzwVduxVdEB6D0V9Q9TMC/01M7cd9d4kJkO8SHRnat2mSxodIMLITgrkFDVKvudFQc2+AHw0Z
qpGcT+ZoP86jXzQB5BHFsSG8vi9ghFtSHiLDyE5MChO+CMzke3yNQ2EwXQSyi/AH6jiH1yicffsm
3l7Be3eNKZjvUh0b7mJ9kLEEUBgE09oszPBrMxrRCWZwxkOJ2EiyJ3P0CtLb9FNQ3qY4NoQf7RGY
JnoIybbAcwaTHGpEfjlWW0HuQbJ1pEOL5BjlN3H1CtK7a0xBe5fqyBD/uBHrQ5zWINPQ2mZBJdhz
MBTMr220oVIEuh9hTtRTdcFIj0/naz/eI/oJWI8ojgznwddx5cY/hGA/2l3UhH7HEcbgeBmg1sEz
exb5kfZ+C0/7Yd79WROQ3iU6QrDnECG9l+o+/fnM9xRmvDmmQqGFXdcptLa9osLR0PUMtdx45G0N
j/wXR1PCtq/DvbvMRMh3CY8Q9rN0nVeHmtoJMzsJAoAfX+MoCxzfiEP/Def7J4XBDngDc6/jP15k
IvpjsuPDfpgYVlT9FOl6YygVSnspHNX6z9qTsZ6HBg0Y9wmaYSex+ThkYSpXr2I+/mXTIB9THR/i
7y4qqd5dfZcqO8S5bsK0GWRBPhOQHV5gom2bcNCvAXE3GPS5R9u/kbVXsd/7G6dtgL2kx7cLhn0e
HWaICQRPoU8Duu5eqy00TsAWMCDhPeqHhvP+LWy9iv7OItOQ3yE7NtTLdSJVtK4O0b9DoQtLhwFi
1mvNlgbMXx86eCicAy8bOeD+kTdw9Qrmu2tMgXyX6sgQ/wij2OHmm3/+cB/GUkHnNJh2z4WlOwFX
6K2FkWMwp2jsok9naT/W4980AegxybGhXIEiP0SaDLrjsT5EWl4v80d8UOUmmPUvZfrjZI5ewXib
fgrE2xRHhzBcmxEf5GYUuFaBQZ4bPLBXzTUY9GwYDO1gPJ2n11AerTAJ5xHNkSH9NY0OYZQzKCaG
0UOgkcfWOLTRU2iqhVGC2yI8lZH90G5RT4B16/PHBmn1/RCJ7WF0mAGj4KC8//G1M90CLlSAyRYM
UmQjZCfy8wqyL6mnIPvy8/8vkH39drpfN/2563I9e7wj8MUFdb9/9/HhwN2GI9LnU3B/1PTphFw+
/Pkepr1huMgGjKZf1WnDQltn6BD8fA4//cRvm3QDedU/32twPsMYExggZ1kwjx8qVmDVZvP81rAH
LJOCYQ6xGGvoA0ng9gcBNxnCfSvABII6N6hZNDEH8Vdp9fjW0MFpPC8Gw1HMXxc5XqdR56fJryfz
/Pd3SRVfpzIpFaxLYbdlT58b2DVh7OxQ3GzBIA4CLWfQTgbv369vhnk28CD+D4SG47YlXXHVabVl
ZDaqjFzYScKCpVWJ5EoS61IKKlaWWSy83jI/5F3I7d7Xb7BHbsKi2qR6ltttK5ZBXZ8LasxrXF2E
CDla3Z9FiXHBEsPtES2dmrTfuwxf6FEX2biKV4iwuefTCyW0edppH6xA3NEu+Wy2pcO8fMMIswuD
2VGXLMMqdYWm+bYl8NJk4lPRNY5G9A9dGK2qTro111ctrUubW+2FxfqFWRhOI/07M5e2Br9oFhXN
dy7LS4+H87LA37AfLeqyPEs8a15ifl6TfOUJseJpO+c9cXyRrSoU2DjNL4sWfYYbkE6FYax419la
mF4FRrBKNWNWV9zNVe8Kvf7KpboWorr0m86pU7YgTTXDkbUqUDYL+Q9VcDSLg6ZyRFWd9ZytvYba
0iKfg6Beaoq7taluhN8vtCBw46y3ray47VSnbK+VV75JT0PauEZg3ZkqPu07dROz8nuC2pXGkpXw
8ovaik/NvjqLi+60ypVN/ewHDbIVpHFnvceX2Cc3VNDMZlp2WtIksUnUXIYV1Wyjy89zL1zjlNzw
zHKE9Do7quhVpZUXPord3q+XRZ84imo3AW+Xhu59InF353M8sxJp2LmQMy9siS08PXdonF9KFjVz
q8nbD1FXeW4qrTWtebHI8nbBMrNy/Db7jFAm7Lhpvyfg0vh2Ufh6PlMdb/qZp1gRnAY8EcsyLYrg
ivR9K+2AWAle1HAF6ZwbDaDfqqWppfoizavI1lh2E6ZldpZYRe2oPJS2ERn4sjX72q07I7CjVqY2
T3zkergPbqADZBEiXdlm6Z8GiaFc6L9kM/hJvZOgvneMpKJ2kNF8VjI9cCrakFOvTkxXWd2tJF3u
lly0toetcN5XZeakWY7sxld3rCj1WWhVnR1E6INkXeb2wY/G9ITNNfRRQ959yrDLOnLVI3NOinCV
q7Bxw6Z2SORtZE8uWVB+1hqguyyqsp7BZysnz6rQxpY/k3H6AaXxp6YqpZvVqrQ9uGzP6QUJ3SAj
332/TGy9SDo7U3nlKsJXsqh9m7bBA9eq1q5JFTt1LXI3RGzjZ/xb0qE707Q2wL+wy1RXTtfhyMVZ
59sixplrJoGws9CTdp0Zp1lUuJjJq1rEZyxuPpG2+1FR/Szg7IykQs5brZpJX3ySPZrxOMpXndfk
87iOBGgczbpMI+82yYRv+zxUMyRq7FYEB3ZjJF+aoIennMcPWspSW2+bwqXCT+ZB2C49LVoEOpcO
7+uvfSpyOyrbK6nT76Juv7ekLuyijWHfUusUW7UJlNGpzwrNRjmasyzqnRyjhZeiL2UuqQ1qysmV
uZR+pezKkl86H8PiGrmXXh67Fg9sXpXftapwFbI6p/V0N0+8z9jPa6fjChaodIeEvoMrDTmkLCq7
L7KPosGxqwddN2stwL31vC840ivbyzwK+wvP81DLbc4bEFEZwh2wKYhl0TAF7OEfsY7aRe353K7M
wpahbOwmzpdS9hbwVp9lTF21sSzsrq9sFuNlI/SVKOtPia6flQ3r7Ujj3JZaF9iV3l6EQr9t/PLc
TMRHo6O6XQeWmxRBbTPSYNdqtQtZMcNOuvCuEMS0ZZxRN6JZVN0KESbzolG+cLTUI3adl7qjBbVY
klLORVQTO9GZttD7rra7JJN2ouJ03lboTIXdhyxWiU2NNvog01o6Ly+53Trf7tOsK2DHPN9V/Ouv
//mYxvC/x1tv//7H4arjv/+22KRDG60af2iwRX596u+bc4ez/9c1uiOL4um+5FfMjd+++bot8tKe
MCHJ/jsz5GW//d8GzBPVTwvEgFrqYXKPDlc7mXBBBCz4ywKBidZD3xMEBxnMCxgGfDxbIATSP8bQ
vaoPQwLg1iiIC/60QBBc5QcLgm3AoLwLRiu+xQQx4Du2LRAO5SIw5s0CYwdDKhJ8oJcWSNlj0JRV
1a6SBvNZ3Xgis1Mc0NCBg67+YGlmdxa0dRLOdD0sv5Ypqe9CotrcVjzJP794ensMomFw4JgbqCqH
qYNgCsG1s4Pf9ZIbknRZyEVVr1CeGCs/7BPPrmhqCaety5TbdUOqr7TONGkXcPDmTh4UoW97vaLE
gSaV5IGXpX4Fa4jKRVFk3PWmxoxFZ5nexug0o53/nmMEhbA7HEMvKozg4mBKwlyPEceSCsC2K1e4
NX0fhLeP7mpoksDzknapadddawSupB6zQQt20u5CHS/iuugMt6jT8kG0ShmO1DLQsnBReG2XMRgy
Ni3M0J/5aSCuw4qfxYoL5YK3wz8pkZ+HUWO2M6lAd8tC1PHi979qFwZo19Fh3DbcRwblJo8/+qVZ
2ml+o2WRWiWlxz+lPjOQTUIEWyNLqva6aQt+m3lG9OX3XzvstZfWMAxUgGuSwBxHsBfhPwNbL77W
1FufZMpPVgnrjZURimqVqMKRzBOffv9NID4738ShMo7CZDRwEtlon2UJ6fq8EOmKZTpZ501aRAuv
ZB2yw0zMdLBhegfrHUudAJtN/N82zbAptn8obBSYeEzgimy4pmD89dBgI+EIjeWK5qG5joPKXIfR
wIPZx2pmFWlqdzpAv2iivEF2HqZ0U0ZcLRvekYvWwoXu4CZIQyegSXyHiwxhV7Cu22Ranbm61sfU
MXlKilMTW3Aq/f7pDVfajPmng9qAQftw9zPETraB0q3KTEzT0y6NyovXsiiVbxtaWCbExl2X+GeN
kOF3n/Hsou1zMbdS0koHGTX9UdK+T51O+NQhaVBvZIHpQ21mgp79nkli7oCMCYZNNAThYXyS+eh8
vdhOVsGkXogSXwYkzzzOBhOxX7Rli/m8rKvKKdpc/1DHnVnZQgjqFEayUKjIFhHJkBNGeXyTRWbc
2jRq/M9NEKfLTpWlnZl5dmepkLkeWB9OlQaBtGWJg8b2ApWsmkxTV7nW45nvG2CzaL2XxA4C8+zU
tMroBgX+td8luB2M+3xVevnHEsUaHP01ggcpOwS6gVR9b+sNCy4iYbKvnl6RM2Ex46L325o7jS5I
7MCmk0uNFV1sNx3rXaMxNTBT23swNcvbSteoAFulpHMPTM8l8RD6mAujCRce1Qxp9yL0vkOusqht
meTatyqmsZtlCi3DNMmWRs6jB1lnFsg9jsNbyb2WgslB/LPCKyqng+ewMAjiV3kTtzPSFPncMFqj
nkVwH5rv1I3PcqdGwpvFChdulfEr4Wm+7hpGWp7CUYMaJ9EDy2Yljb60sS7OUcGzWxOX5qLigYbm
yor7NbPSYqb0Nujndcj8uda2+hqpqPmh/CwznR6VYM2BN1H787YMUhCOppl1fl2xeZF6wo1KHJ8m
8FHwTkmRwoOOa/AnVBBoDh1cQJqabW+TMvIcXGpJvCiscOaTqtM/NNggrlSFHtkB7KRyjsuGq0WL
Kfi5Yd9H3oeqycs4tjsJnnLxIDyBUP9VNVpLY/AyClDl6T3q4qDEBdywWVWZvirDMg7bMy7zflGD
Uest40LKzA5QlN7qVMPLoMO4cirAwLO7XOctwBUz5iaeB+dhGYVNPrPCxtedIioN70rkEGFIT8OO
NsLt2oiXF5YqMeyoxksN1TgVnIVzSxOBd1WD6Fi+k7OMwYbDoYrnSSQLbkc5HF7erK2l5WgezDgy
7c7TEwLX63lx7AheNd68iWgUzxT4X+HcTPy4d1hvgsZMUAiOUSwKLbJr1fnqWkktjmepL9kPraqp
1F09ReVCElaxlal5vneWYFpSM3CSVuV9d6pg4l0hZpkvaAzOZ93nc14ocDO7yIq7U12pOHNM1EXS
oa3ZRYtC5lJzAFb0Wcvi3nChsykEXyGMde0qCnQNPIkyST4HcczjJS54Gc1CUVo34CZiPA+0FBnn
ohGKgmUskCgXXlFnyS0cxvgs8HsUzqsMOJilZeT3M2a0PXdY0GXNZcw62NoaiErheoZRnRXYNCPX
97BfuTSpAU5JFdgnSR/gfhOF0IzjMmAgdnEXixz8d0lOfUlDy0FhmGNXptJz+8oLTVtrioxfB14T
EAfLPOjtOAt67Vz3IjI3Ms83gV1Os5nRiT5dCmk0PoQ4iGjs4XO2wSVPYPv4OHfaRmq9XbZS+wZ+
KIR6bAlyhFZGn8he2qwmGv7YRQ2qVlbGu9RNeF5emlUCR5KvaAgEPMbwtDwpjORrb0SJOMu7OGrn
qjF7eW6UfvmRBMhcm60XezYzYPPOq6SleKasXgLzlRHEboTzUDms8WbSkPnXqGnAsgj8oL5VptV8
zwqBT2va+N6MhaaO7IR5sI4ZpUE7T4raWPVthskHVZrGR6PU4BONpSnmlOBHtbMaxYE8hVARapYJ
9RW6khrl4Iblw+YMglwtaKSEum47UjJHzxvARjQJMJYqULrncILxT5jpsLtj0JLFEIVo02WpuIeu
g6IKwxvEEk6WLYEY0mXZloPxKbr22gw1q52lTQxfnaZ9X9stist+oYd0+PED6w3oJ+Ari40VMRP4
FVVuwqMSYRr2Dg8hCuBkkR/KD0lBQeSLCqwCH94DnYrKRFzlBgQKExtnQge4m6KtLmNNZMqWepW3
8xZmpeBZV+doUBogTA78IlAgLTcGO7lM4k8eXGd4xmopmc2EGcK+6Hxr3SQY2GiLoLvBZaurcx/M
3OA8zZIwuGVwWixUohurnPv5V+g2sHJbECHRWcp8Xp17IvVrtyto3oCB2+FFhuCxOjrNu/swCs3r
tlJ6eprrXR1+bqzYV6exp8U/up4POkTmkXDBD2B4JlEn1DyzYv5Z0714HjeZn9uUgJrrikbcyLRU
5zwOA9M1UYF8UHtw5a5dC8Q/FYFW+7MIJSAmveZhviRJauSbGBRydwaXu4FsNIPGngWmBk+0rft6
BodMk58bRYUsx+NRWcNJi2sdTO88+Fbwmn/UOjDTIUxYFsZDqRKIAsaGQeulbBAs1caG6B3S+Ja/
zAAWiIeG3Jr3aV2Xl21Ho9ugVrnNqDolcVubp31jATihbqh+kUVhml4mVksutFIn6UzkSVyf+12T
CYdBcFF8BEtEPeg8ATUCqlPVdihUo2ze1CyHU6DLbyM/N+QXI+0xq+0eLLDuLiuxxmEx5RUzQbXQ
P9O8rPkufF2rnYgqK1xKrhsfWqV5/aKACKWcyb6CTSpRGeDrNox6cxVbWRTZeVbr1iUxBGmdDqwb
NWtEBqg1LJEQJexpDLpDqWhmtLgt3DpCrFj0LIfdH5LWp27ndRC78jJl5Z8bszM+BqKAvQYnHf8E
ez1W1wlPDFCwKOPBnMXCauy2+opY1UD8IwxremeiJG/cxvRLckm8iNU3uad4AYc77OhZJjGgCY5D
115IXIbpBS0yga9Rq0fW0mtTDr+rbTX/Miy0rHFj5YHOAGusKi+jyAP+Cx76cyVYKNym1fVllxOQ
+86yqLSJJ+jlo1X6nEe5fjLyn3IAL2MZL0MbU2Ikl/K+SFX6oxwHSbYW+v88kgJJt7+DIk9ZHQPc
59ezOudD3mM/0a9oCj8hEOeHYaiQhDF0Duv9iqboJzDzfBiIS2H2EwKf5Wc6x4KcDbzoEFAZ7mwF
op/BFBPK7yH2ARdzw7SwYSzjW4IpQwP0ll8Et5hARAb6LGECAtR6kSHd88LjMDxcdmFGzZXoNVzc
IS6iOHGSLjZcITSIYLNAIXmpWIi/ZKnV5gu9iT7oGna4jsEqKGRbSqekumfZHbNUvozTonc7WmMT
go8qgNNUeWcNjhphQ7K8Dz+kcfg5a+IbyxDf2gaVDsV41VlJ7pLElLOeQrDez8X3lArLRnqChjNN
gHupOW1ZLXgShE6Mws5tsLoVhvcl4xAJPk/1oO/cSMR++wlcU+XEsgJD1SzCDPJAsKrlpFVXJpdE
66zTTgSnkkhvjryomellIkHG6uw7CvpvPkQ3ndKKPcfIkrlqZeOkcXCaB9qplHkJB0/yXcdFsIhA
b7s9ie+kr92jyyzpLlMIoYPWhscT9aHjRd5HI2cf4lSf8a5eBP0Ho7Tumlp9tpg/I0mR88OI6/+e
IA61Dq8LovPizuxdeRxof8ojtCiYw417kCM1YFTXEMn4JY/QuQJJeIjkwdVNFNrM/xZIuM8J0qsQ
MUPQeW5C98vfAgn9MAaDCCqyhvo4CpOtf4Z3t5QrZJef//4ywQpBlbFEQsr3cVQnBOHgzxBifSmR
PKY9T2qzvopqCX6oU+Spfha1BjlLenDbncCK77rAR5CN0SBTCmGUwIxru4GIvEg03TbK4GMLsfqQ
tbc1xO47D5JXmbAgFzAE9sGyBReu/NTE3YpC5N+Ulo0jL7VzyAlkbXtmZZXltEO2oI8aO1YKnDFI
JHiUt4sCcguY+aXTqBwyREPiAc4zNCuGZETPyLwKAgY5KHBtuRJfuyF1oSLSzXjZQToD8hrEqiqb
DKkOCBY6OOt1p2tKmwzpkALyIhE33HJIlBRKuaZsvluQswqGVArconefB1Q6NWRZLDAXbQhyLnHL
wHaERAw4RV8snywYzXrHa/BcDEkbDClPNKRxILN6qobETjekeCTkerrU+x5D7kcfkkAmBIrlkBaK
SbgIIU/EhoSRMaSOilpLbeZnD75OTLeF/FKWmpDiHVJOXlVuLA/1K8hUrGVmeueVKSEqY6LYFr41
gySycYMULVwCPr0jB+svVS1fNE14bph5/ZXxusB2BVn+OcSWnJ5QOSMeTedRh3UnAhd/xoTQIc3V
p3aFEnXZ6ax1QwjHzlkqM9eLtA6UFeV2oUIx0yTEHTpderNEV/Jc6mm0YLwpb5FZ95+avhZuqoOt
HqpIv+ysmM77Jgy/pkWNziSl1pdaxfGNKoz8WlhILplRtBc5Bz1Xd1F6BrY0JKg0QoILr0mywZVs
L6qij5Ddx7r3vWVSY2D7aPkyQfqHMOXGTIgmu9M7ePALDwLo37SA+z8Ii6pZzBG4Q2VXzULGnC5G
EKIPssqu+xL2TQFOmkKXZdfDU29meeNfqCT/Cv40d7S8WhUiaU49r2znVK9bu8Ipn1NT1DZpsxUp
UTnPYx3CjUU5yw1+DjEI3w4jCS4a7ofAFU9Ad4eGmxpMujTu9HlaYZHNkLylOIEwkbTCyxQKJs/D
yq8/cYhkLC0oZ7MFGPsLSJ73jtKKHy3ytFNwdN2WdfIpIvhP217/e8p8uJj6dWX+VG+6q8Yfr7N+
LpOBtlK44loHFx7aybmJX6hxGJQKoVNoV4BcGBTJYNDVf9tVlED4Vx9yWGBhDc2qL+0quD8ILK5h
8Negd9+ixtk4YA5fDDHcx2G9BG4TG06gl2rc93Id3KO0WvVRKu1WVt+g/ESAh1BSW68j8D+jz6bh
SQf0EGREWAMKrlGgA+vrWKVLyj3NViaEwnidu0qT56IKLjvaN3YKGxQyWw+1XoeQUh2igloTg85D
l2mfx7anQ5wsVtlV0uqfm976hhT5wnO/Axeak7n3qJ21fh4RTQOpEpBRB01JfQ30YhZ8MlnyLevS
uxo8Zhsc2MzxLOtTkZfLpE0+l1z77CXdubDoFcbysg7FRZnKbyplsS05vYaA0n3EfTaL4YfZEPSy
FgilZ5WRfgUR62YE4kqwbBc6edScgmq661BWzPyymRPSly4KcAMeqozsUGMPuQDdzSLrQpXRxyYB
k4r55swM2U0q+UOu+LU02w5y81BmoPtBOfOaBjIk9Rc9TO69Mv3q5ehKpck9IRZ3qrDwZ1XS0FNF
42soWziVQtkk+L/snVmP5LaatH+RBhIlarkcLblnZe293AhV3dUUKYqURGr99RNqj89pH48/wNef
YcCAYZe7qjKTfN+IJ0LsqySAJFoZt/kU1jKdWv1t8pJr7Sw2b7DLp7ArMNUGTbLj3dhnILgu1tSn
Ligvisl85W2/W/S0c/vpxJLkwAh9XNbxBw/ER9T0zz5ne3Ajnxu24iKM8E3iRUrcnqbTFCUZcUWX
krkLH8LRXKtk/iFFovPSAZ7ilm429AKbvEs+BYw+BnYp85jXzwEjPyAFjMeFb19Oh2EX+MPnxhkO
RsP6wtKxg3jLt3tK7MNQftGBqHekHe5IRV2AAZHMOs/S1A2cNFzrnRu1IoXHu+9spVNWt2MK6Xcp
Ggvdm9AQkAX3026NdyE3Zl+a9szLpjutTc3yXgD+odP6GEm6nxTdDV3QZcEKIxEiUZ+6dvbSeDUi
lwPecTSaHMiweBMvBq9hQ1ooHv36pBnE/UHFO1aOO5gIT2vsn/hU+2lEpEpNV7KcSQGJYai/WT1/
xm5v0yhs311P96nSmJmmeU4nlx9wXTmZdqqDqxyRO1GtMtfV+3Bx91Ayh8y4TnKw1bSk/hh/NKK7
xDMMzRbXUAHd9RiyZcnJMKqCNfOL7uipJD1P8W5s0tC372ZI2sztvTAN1na9b+aQnANVq3wGo8eO
EvuUn9f19InEdT8WvWMq/opfQ2lvxEZsKkJO/V1YNq56jgZpdR7YdvWhwEP1y7y4ie6dsuLh/dLx
6t7vZvaFD22Byzua0qAKyrsWA5qw4QCJck5dyg5VlLAnKOtOxhI6P7jSOZWs434B1G3byWKJ+/Tn
pgbgBltb93ODi39uc2bxMw/7nf5t0xM++VxPrsuvUrUbzSQrL5/D6JvLhkFkdbj0zbpp9Qmoqzqg
XcE5idizC2/EfCHlyMq88ldS5Z3bhOXXmvIquLqkb5xUJvPQ/n+Jc/xJhNhaSP9f1+V/S8Ap39/+
87787ct+WXuC7fkAMVaKOPCBgf669mAjjQNcpsT1vV91CFyy6EdEeRr2ogA8CL7q9/sSWCmebA0k
GU//QBMT+Vs6BDTHP6892KCwjkXwPXBp/8faE8+sS4a4Gm6Cg8KLZRJcezWfYyW7jA79a4jZvRO2
PigdyfWj0qZzHgZwlUu38gweh3xIqlalFsyQZcFJbxBRJw04vg0simrP2fMNNgraasdq4EdwwNyM
tUCSoFGCTsJFq3bNT2ZpYe2XpFp06oQRTAvYECJrcY2extlZT7RVMxazZZv3BlnnyzYBWoyCLMFM
yLfpcPE05kSvTo5ymx3bbYok2zwZ/zZZPrU/R814mzrbbf4ce8fNo20m1dt0Krc5lfwkGzG61j9n
WOZldJtqKcbbeJtzx23iHeU6p842BZttHgZodedtE7LFqNxjZF4wOlcuDjGM0m7AztM2W9ttygaq
2aUCg/c0mKFQ2yzOSscW+MPYj3LS4ddlFWO56ygAXxiz8Mwq4x2Sfnisav8pFq4ajm1YOfaBe6o7
wFrNVFeFh44uRj2F1k36tBrKaEz9qAz2vjeNIqUl/VGXw3TcnjO4H1Rd52uj7hdh7sIA+KWs7jqX
nGMLwNdMJ6cJc71C79z2TbFmlLffJ0UeuU2+/PzM/DNrb4DUX8/avz/I8D9PD/Dd+LpfTw+09Hg+
+HM8YGKTP/4lmqAtGQ+OiSkK21Dx8su0vSFhQKMgcP6bFvvf0wOBww0SS/CgP8zIPyn3vzFte3+m
0gMCVgqd3JBKQ3wrm6jyBxkTb+G6D/X93LvRTo0Bbsc2gMMQTLgQsbKOy4IV0Z1cTK3UPcMv81Qa
wsc8ytjVn3lTmivmnjk1vt89iSEMDhQ+0N1Ul+331pYNfLiRXyoZLVHKvIVnbeJMPtwVZ743fWNv
Haz2L44b2p1XEhpnJWijHDSYuqsxaX6PneoRFje9Mc9zToRVE3wHSDlAeOgXOUb904QB7mpNFYFc
V7pLo8Gpdx5d9Ks/uDatfEM+NB3kZ+pKdWAU6Dc2cPM2+omLj3jM8clNpn0kpv48VGP7MAlVyIHb
HeOszcfJC8Zb5ahg/KZx3gVnT5XrMu+sroe9t9rB+QhYIqq7KpBDl8K0UP0t2s7UiHlz9VSJxElj
HBaQeqy/bjNs4ugQc3dQzcFOyymGIS3HdnJgdzHJz6GjnCXlg1zexUi6piBTsku6cv4STtJ/W5yI
4oidQ7VjVUhPywAy2k56fYMpTetUEe6e2VRXKWdesi/bkb1DPOOZq9b1rTTV+hHy+XPvdDvF+MmJ
tMkbLxyzifbtAeYJw7jpDcu+XmLnzDy7XGo9A0W2ST2nc6Nh+vOJ8Z1prN+m3diAGqm7T9Bg5BFC
1Itfd9WhdbolrdxpTCnA7EMoTAiPsW2O1rHJS+t24d2cdG7eEJ24KbFUP5fGBU06yuTdwYx78iV2
vnZubiL2nLy3I9hcxzFzAVaqs/lccvD2jjbHpS0VZPEYYLqLvY2tXpSvSSRe5rIWl0gE4mqcTnzx
IBBlE7zLi6lX/WUdZueMNy/0tEhNN8H68nO8NtOLEr0sBj3zJ4fP7X01yj5TuO1lroJgNKkxAbII
IqlsYWZqcoYVNcoYkPoDGclHEkJLkf4pmif/YQGchB1Lh95Hq9t113Gw7wl8shS8ME3/OYsRz4Ho
AJngr8/i/5YtVx9/Pom3r/r9JN7EjYD46NzYnkGAee2XkxgPV4xA7FL6G4L7B/kahzPSvxQH+OYe
4Xz8fY5DcoggFoTqLj+BSfX3dA+0PP3nHBdDIQcJGSJGHADF/I+TmPXRJIQfy5vjdV8Yt/DYB/nu
LfQovUalIoRq1g9FRBvIIFAffXZJlu5uihtwCRuk3nBoGANzsj4ayI5Rd+dq/2niIyniSA/ZyJaL
a8s8dDRgFc++8pi0mfTkpaKdzEanP8javDXhzNLBC76XhJusdRqWMTqf53j8XiOylMU1hiJMxEW4
jBQ5FrUW7uDIvG/onMPOhS01JEMWLC68IK2WndLLPVkozXG0nQfsdykM3c8+4LwcPvt37YYncJtt
3s2qTdlo6rRhfkorsIwqSu7XxPs0livDxMVrwHvOlMrI4h9DwbOVtSRtGlamUYm4jd0tEcSTDk53
Sqb5da3YFbmbc1u2kIG8INUL1umGkMeJ1/nIWFPUilxLjzyXi7SYCQesp4kPMtcg3tRCSUmDwD80
Pu6tMm4/xRRrcegubGAZHTvOniwR7VfgJa8Lrsyz3bwA35q9xDaYiq7/OiPHw1W9b9oJu+6AczuY
MB8PfkmQ3ImvFSOvfmcgZfPp5uA5N0VdD2tO6MqKNQG+wfrE2Tt6ePSd6juF4bAHypJ5AFTOOnyz
8xsonl3Qhm/YQfV+6N29HAwrejiF+jXxKvUkXdnWH5yt36e5elx9F6Pq0Ooorfsqjt96ZKtKvL+P
MPPcw2yJvpG+TG4BrvbTkpRZkGDKnZDrsD1iDW7l8qwKkuXOFyucc66baQ8I8NOkpjziTXX1Z/0B
MIAcXM2SLu3DuFr/Oed+c803V+uvzznga/b/OubwRb8fc3DpXKyWoM43242EaAP918CJsTLysHTi
Lx+o97/l3a1vEmIw8Nl/G3i/H3N4aguAWgydlPpIV8KG/xsD58885R998437DpFoQOYSafvt+/t1
4Bzb2YAjrPybmQM3W+fxOC1Bh5id7+Od0u20T4a0t8uniGCdMyz41vvxxSZLndMNFRIzNiLbV2fM
Oy4CMOrqCLeHOtYO+WzGu7kPTR4kvUayZ3hfEvWl4qwAv/ZYB2KvFnsiPnnsWsh1oltgt2E9RfKR
XFQDEo850YupE53JpLGAeMoXWIefKAjFFKjXnIUYRijzb94UFkmnT5HsjjVd/eM6lj1kUhJnYzXv
kWYoSNz+wMr8OEyMnhQr94jZvMd8gcG3vs5YstOaNCT1QQOmYdAoRL7KzJ1xUEdt9Tp5w9d6HoOs
qqsDGbSCtBbh6KqAldrRqoy3/l0NAVHWgZ9Off+jGysvnR1ts1XGN970bTax7ibo2J7mxoK84dD/
okbXgIv6TUNl5Z0JtZuD9FwhZwXrj5iM9d0YRN9Wjl9uWzbVAwHXk1am/6iwll6FlkeKLF1aknbZ
V8rEN8PnpoiiCa/aUAVpzyzL6maewPqpCnknL9zDNUSYtAcWFcwRe3CZ7+3XVrC0Y5CrG+WzFBSv
RvjJZ4W7SHHw/VnCkuNkL6qNz19Bm4czaDBXa0BlpZd7M6RIGRi+C9y23CFNJQtsE2Rvtd8UyhcX
rNbn1YpbrbyjXdia8yb+Ua4iTEXUBIVjuJ8vwyIKTIUYdQcmC1dUMX4R3oKNoEv2VsD5EnMPdoKA
yWpYD+AeNOMjTsN4P7S0KvAkFHFw3bLMx1H62xLkPEjkgNNmxU/azWGIyKkb7mLm2EwsU5wumrWF
A0YSlkbNT9SYac9I9bwQcz8MrioqJ14g9LfvWkKi5BjwIdUkwalNcEtsGxTCZ9uviBP1dTJUvCgA
oampEnVYBoRoyMx0Kkvl3ZDdBfTYriXAqAi/4x76djzhzK4mhGXzaODf6wYWsCuishhZ4xxcK3YD
lUVZqgQ0OWjwJlF9CoS4QWJNwMEUU5z3bSOzELDHw+rND2IeHsOpqQtDhMczSeQdkHJ7AHX4w6r1
3XpjtbOtN0C6lP2VgyDL/DnMZd+Fx3CZykvoROM+LlXwSJzhlSfaOrlrh7ncV2T2PCxC7bcJ31W0
OjUYTCFTE1fd3uHLs+dM3m6GZZy5Y3JSDQmLaVo8mD8DFCSDICZCCCCokd1UyjkhxXzgvv8yGmEz
7HLPTSdOkVD3U2Qyx4muhn4tI3IedDh+Rtz5YwrtZYbfkypckzmWuOkyAB8+JIkVKe8xkbDavRD8
aRVQmnEMfnSgbTNvlVfszF46JtHrGiMswcUaY6povpsICQoA1kctlgcYcRc436D7N1dcNbHe19wD
UTpWsMwXjcQozGUEoJqjMpjWIuPT3bLgJfS65jY47EnO5VdXD1/aAMdD7LZjHtX9mU/e21yHYWFq
H3C+0WznDR6cWXgQddBjdzHgIFavSaUZASlNnwYE1/PICe6TOYpT3UTqCHYD/6V1EWWs5Zi1Vp8H
4R4A5ikEzMudcHV34yAUoG8LF/toktu5/zBlWKd0hHlSkfALJKuGFlrNV0XsNx1ERzXQz+DxEP1s
vFT06ztSBGDl9XzADy13FQEE0XhrLsPorhI4ZRKNEGk/ZTW25nTU3sHpwCFNXS4IR+KCTw8I5l8k
MX5Wcvlu4+QQKf/OY+3eCbo9AyOP1zSbpYd/pm9VzHlm+PDD8OgeoRtbjHo52iaoigG2jhPUD+Ca
HdwFQyZ9OHZWPjSJk3u8epYIalWhOsByUPnQ8GfJbQYnCe5JaaK0WdZDidwGl1nsGmgiCcmwinyU
AyLBuMecZW9iYuJ73tQyY6F6dHnfF//sgD93wAADy1/PRv/uT/vzHrh95b8GJLCDGEDCgBI8MxIK
3C8DEjrUtx0viLHu4WEYGKt+979jjE4RxUOtsCiSjTn89x6ImuaNQ0yC356vgYnm7wxIW9fvHwck
hD1REIdtE89fciEA/nFAcmLHr/tZ6tuwIHJyFaSl4g4egyCFtY28j+Cj2qyR9I623f1Qxd8CaGJF
T5rn0ZMaH53m0pH+i1z0SRr1yBueW4fo1BflFR/pazsjTKYi3Dr+CO/R1BeINJ9WoT7QqDCneiQI
kNShfqBs3XlNINJqlelQVnVOggHMkxVXaF7pjM6VvPdH5b0TR+DImpjcTWyMvSN6OHp+InVo2R7+
QYB005iEHLEGH9cvzFmoRuHYHiMeNfsuSk6hjNfg2S8tTraymcSQJwmUtksvuPkiphIfttFvyG4c
RmjZdhDnyKhQYEyjZsJljShU8rO9oFbRuBbdz1aDBsorSyW6DoYQ4ZxJqk/RVoMA23Ifj1sxAhoS
2lKXebSVJoitPsEf9JVvhQrE2AD0Fy+6tcQAhNYFXY4vBC0MTr8eLVoZxqjJ1Dgdg0XlI1ob5one
kjEELYA+h16Sx8Xwt9bRZyS/HFzow3XYKiAidEHEFUoh+sR7HAfniPRdocruDqjUD4LxrnGmg8ft
CQT9ATTEBebIXYPWCbBO7+5iHkGaHghaKepkzCu0VJQeu4UVVKlOtk8SPRaR4rls3f2Efovexrk/
T0eB3osmguaIHowkNicpUIwRN0DQRPJDeboI0Jzho0Fj2po0QIJ52lxLNGwkALx6NG5EQ5y3aOBQ
aChZdXNDAjFN6IrUZgA+jHxaJ30d0eCBSfYOr2XWimmHaO6dKPWdQePHiosL281JULFvQ/croaDA
0RCCbfmdaVSGbC89i5LnoEdEtvH2MbpFvBEVCwPaRgZYoUsn7vqQPHRoI7Gr80LRTgKzH68w+kra
ujka9JfE2JgT9JkkgclGJT9F6DnRbvVo0XtStvSCR6fsCPpQXDHKNFy8y4SmlBHfRAY6PceoeCnR
pRJHXoY44YWhYwUK4Bl78xG+GAD/pf/oI/I4JvNjv9WzlGykDxEaW3g4obqlDK4LGLZbL11xxBkP
A4gT7aPuBTp6Sufu5ob0Mnl4Sw3IlsjROFkXTm3emuT7wuY7d27yoPEvEWcPc2fDfG7hcUkZ5X7X
fbViwdvPDxHcK/dzNy47xy+/rr28TslcgaofnmsEbnzHx3IfWPQ7aGR+vBrCit8EUeZU/Zy1o6NQ
/OBdyyB4DHre48prLOZcvOLQNO9F6+xNgHDgKPShrWonc0wkdt3sXa0Y9nUJ6SNBPcQE8wvvDrxa
hKAKZjD3HfIxmQrMGcxHn1WLOcuG34Kyvvids/f8qWjC7q4lhKdT13xrgwYvxurkZDJTDgYCvywb
PlAZHzXyCXmvhZ+qusTMt6KmxhFDpl0C5qMCRih4e2k4oLLaOqCa9WcLOildSDNmTrPeDR4qSGr+
PfQ7jAgxOZStoqCJKpEqMT6GirzaJDw58P1jZ5CgBhV4BD5d8QzxBTUdOAEaR7ZZghR0TrpySCfe
djsxLBfdeRMYBn5DjOtlDAF9VtX8zEKK9zuClgqD/hjXtxJJvazqGjSH9OIlGUGHJ7xK0oA602XV
vjxXNKz/MfL/VxeBrf3Xd/9/N2/fdf/ne9/FV/1y7+PuhgcXB3gaOPV+FUagmUCNCCmi2n+08eP/
wkPDXXRD/UYo/9rNgCckemh0R678N80k+lvX/s/ygF9z4rAGYQZCHNkUmphuT3H5VRfRLV1rupTm
5kr/udbmiRh6bgLzUM+QKqYxqE7MxUrmBQeUm6CwqK7LXTmGOAvnoUzdDtVQ0YKtDpG/RxfNPVnV
Rl46BTZMzeo9WLdDsD/B/0tFuiqAAXnHhPUEd5x86iMl0lXpOPX0fHU6F2OEEhAQ1hGf/pnihrQR
Wp1G4kCbmbo7VzXPESz+K25bdRHbAaBDUKishPRIZLQPDA7meNRTFlZYQtdePVcK3TvSaVo05Jhj
19JdGVuGDQW5wChoPpAef0XyFoQLoQftO0/OWntp2ZnruoXsVsre0awh0o4OoJz1VKj+KLyLx/zv
Y/XW+5lN2EFriBzTOCBJvw4Cv5Eano2cMbqspi3aRbxNK+Tv2fbfBzudPNtOaeLiB+rH8mj6+B7e
Wos2lcJZL4P1TnMQf6UiPCIkEaTJgh0pieilZz1GeKBSwRijQ2P2bnXYy5S5Q+HFLl4SPzKpZcwc
oz5wU+RpHwmbgofEqb7NRD0YFSNOJ32Zca/ydqTTJDXR6O38EBI/RhJbyLoXeVlPXtq78YXw6rgM
PEhpX+UiVo9zbSDFroNXdD4KAGKD6yVMkMwOEccrWGfHJ2ZdLERe8ok5WqRAnvedK1ANEz0Hyfrm
OUztm6VOLeRglMokuSZVnbZI5KZt0B4mdyRZaLuT7+FnWftun/gN0KXSU+59G1j1hNow/MG9gUyu
b2vQf+N60kcyOvd4g78lGq1PPTSgU1V7n/tuvPbQmXIHKkLOJ/9jnoaPMVqWnbEzLEQTlweEfN8b
fEQhtZEqq0F97Pg0PMESNecmdk+jEF/aFaNEh6ooqqu9npxLtyxtajBS7ywrvVTX5ZQCgb+zYsXH
Z3yuWPneVVF8UD5i1cJpnsrVRy8QGT51PhzjDi1UMdUnUBUS9kDY7GKjgK9R9PG41QlSW5jWYn3C
/3O6dCMdkbLUurAshCW4JWpRjAW3OdlevNlfMjcsw9wrg09Giz4bV1D7xih1MmSYs9nBMl8tHOVJ
RkKom43+zNySHVRV9fcipBBd/C6f1eLt4qF5jckqUmYrhBgFJB4CIBbpQ1WUUgwIVNYcn3ZLjoZr
ZIREWOU9GY7uGrvHLq6OkVfKfYjvJe1Cf0lxLFp0Fpl7aB8gSTt1CGx3EE6YC73i/hcWrI50PHzS
Aty2aEJKl6CK8oSZ3AZw/RGzzbFA3wukGrQZX7xZnGk/nLS/3CVB/zRGIzqYTLOvHNzZqilX3N7e
3TgPL1xTONxLdd8Ew0PNpte4nq+mWT+bEmR/jcKXtNHiFaUIp2B2D4sxzzYO3bQblAvvVAPsk2hT
Ml0Rub3eNUtsIAnM17L3H2q1yGKevCIi7YkMg0oXM/wIaPkV7vcNzRN3KMq4RwIC3tVo3suSAmio
18+ygp4WdDG6x0Tz1TQRVM0FuQtL2mcNl392Wl3Ai55TNKMsNWACQRF92srQ8GBcUlQamX7Kdf7P
+v5zfSe40v76Cr97a/8E4lFEjH+5wGFf4PFmiHpEKOrduLlfnQ04YwTvCA/3MfCYXxf3DbwBbgeY
Y0sZ/bK4I5qEZ83j3/iUuD+jSX9ncXe3G/qPNzjKXEjw8zEfJIRp/ccbvO9ME9CRrDe0ajQpgtwQ
wxMwGC1dXjzR7cttVZ+8Li/b4d0d8PbcnFZ3Ds6GljJHLxmmxC536XKla8tSapstZGfBifBbyOVu
KeN7V4Jm495AAKC7+3pOrpNPL7rRe0S0D4MgN9BlQRqDSc56hlvdhtNTSPWA2kXvwwnVGWNImyGC
zq5RWLepg2q5NO5osYDASDtw043Pjy4Fz9CS+DVq/XtD5I0mlqcDIPvk4o/yFQTrvpxBFi80eZCC
PYE2yRR143yhAvyzhK2w2OBj0kzg+h5aPPEAf85Cx/3qwHzw4Z86oXdonNrdsdlDqQJyjoVNuGsz
wtrT4LK6IO2kkN2JkryuuoxLTNidfGfgsrfsZYoCvv3QQYPNQGfvZyQVEWipdnqqD71Sxcxsgoo5
HIqB9I5k0WfflfzkOWCR1YJih94Fol9Hlwnx7CyZwickrMPdAlglc9SInyLpgxsY+qOaBlxKaxKm
1FB5jKPkLqwhYisFEdmWXw2Ln4UTQ9F0/EOwlB+QdVTaIEoNqLTJodFPKYEEuuV/DroqsarXjfu8
xAk6I2d6bJSa84C1j54nD5g4oqyitZexFcl+zU15DCdk1T23Rh5NAKRX2LzWii9Fh4KIlLL6G+ps
oMl23phZZyWPSYdVeKV1gToZvndcr8od67m7cXKTGucwaa51WOKaGxyKkj5MLJMT18c2hugcBRCM
YXqnIYkE3BQqu0NvmC6f4il2Tl5YfcdA0RZxWSenFQpJ5sn+2HfsGX0eG6tODoHTQqGyUJ+rgRZj
rHJIxvqs4v5qTPNDz7AUgnU6u/P4uTXgwlAb8ToQbGrcT/xsLFukqWK3iAyGMDVfmsYNsj4WD6uN
R/h6bG8nelWA6ZfSebWThyLAaT1AKsN3zYIbFPY9WvV2lAtg70GN+sna7EVELjLETeMm9uvaohnF
rV+wNndpQ8sjIx3dj4ttMuF1vOiFNjteqbfEreHRI0ErGdqikuSqJMB3OoIjipzvvOQv2lm6jDms
QqGL+93n7SsKN3KHSUi+aBR/G3taOJ7zZQwAkE42hj+OzJ4Hde8hrIOvth3Pxou+R6s5L7S9W73g
zDgML6PpbcYodFV9s5cotijaKDwjfZ+hmxNyO6keR0ycac2XryR6rp0iWOJzy1HTCXkfPgk2e9U6
z3zEHmBr+RDzyMmI7r+0jn0U4VBmylnvK1rqDEh+7k9l3nBROE54WA3sOFuKDow+mNi+RjlplVxh
Ex+jsYa7WGVDgFcdm/t5jGaofM36FdiT3dmmz8IYKGuP5k9HsMyO3WWY1mPS8ndCWzdFfUqO6sok
bbl4spK+Jz36MIcZ/Zeqi15hlKnMa0p8iDVqPn0wVk2HszBNVjmjnwLlOnf/3Lg/b9yNcfrrGxeN
hm94tPib+T/2Znzhr3vz9hRK4Oq+i79hpf4XULDBqBSrceLh5v0PvZziw5C4aA1D6dkfrt3ov+LN
+0cUGJ1iGxz/txbnDZP947Ub42ZHXC0EcA99PsL39+virFgM53WM9c3F3XhoYbTj44oyY386D9G4
ANIm5jIPRO99d8XoNg/3SgTwlFXz3gdEIyNmDhhNaZH4/ZKxKfRReYv7Bm72uiXESF7ZGDmvLlxz
Z5qb+44lnyoKhQsJVD+b3fWM6ppLT4NDrBN41E6175b2Uxkzna1dfF37BcSNrscDgionhrAMxDl6
WmPepCyIriEJXhhth9Ty+CGZohoNoRwLe/9GaKDQEMJex4a2UKAqhu6kaMT1vV5DFX0C3mgyJLY/
J1J/CufxnNRQNCP57NDmauOpRaCnelE95EbHQytWOZ2jNXhUSuw85nwhfM5Yx3bQBiLAZe2ljfRn
TFl3ftVA9afALWfM7XhTvFmJiVvNaJF1IlvwcK1SJAfQU9vP6C8ou6WIYzUU4zguKEaDADrNyIsy
H9cd1D4se3eTxHbA1snbIzO8E2GHHXYUSDN7KnPIeu+X4Tdi2+d6WHaoBGlSn6n7OcCFXDVHTqBQ
lpG5D4fopUKQqWiD5TOiVOCPJtrmEFXqTCqudz5fTK5ItLf9+tDPKtp5lTzNnvyo1k3AteQlrCAx
Q6Avs1AnNzFG5E6W0WGO2VN3F1S4FbFaT/E5XJAaJ9gseYRpIMCtwO0Kodq3I9pU4s9VCDxg6BRJ
kVTcA9JTad3ob3UU6lxYoFKk83YyRjeKCwLFLge+gONvGvHe9/4H3CaMR+7/sHcmy5EbWRb9lf4B
lGEetgjETAYjOJMbGMkkMc+AY/j6Ps4sqVLqqmrTXgstZFKSSUYE/Pl9954b7aLGPEmuzCSaCFiD
KNbpnJuPhpWB0JpdxBHCjlXZHNhn7HNLA9YUb/CUcuuE47Wep0lnZGIgc79NXaU19OtRKJekHn94
Sza2K0slhqFyhV8ak4mDS72pNPqq4Zrv2fLqqIfIQq7jBtTD73SpDFTt9AZh6p4cdECyGdADkQ/e
uryPvKfKEAbSJhoDXgmyS140rTNnIFICRYXdN6pEn6M0GVZ+67FjsvXQ8OEg7kvPRl/vNL+Q6kYu
c4eOQ57ZRY3aGFIFIdivbhSpjKigao4zYkmIaGJI9QQz+a0r9RRJRdzXHT9L3I+geBYuwybX90hd
bqqKT0oqtRkiyecQsSYuVDWopX5jI+Tkpf3aI+x01SUxTbYwaD6uW4T7ya5OE1OoL9CFPL36YXY5
wgSKUWEW9drJuixQJiULaiksjZaU0xorgpChbLn3g7/QpRLVXqXpvkOdSqpmXjUhbwNRhG+zlLD0
ubkOpahVom5NtbkrtVjB3BE/KlH2mQ18ZPSy4r2NNtZ5ODqlWOYBPpQbgHv4g1+eVNSiifedIUW2
qoSFAXaRKZ4bvIia8krRJ+taQ55TkqI5TQKelyu1O8dbwmCSet4QcuBHLRpfPIpr0WYu2hM3hdxL
7uKWd7NlRtq+zdOYQD2vOJQvWJnzcqnC2iYUZKBEFGJZ1QiNRtMOWGL4YMVLE/qQ7aH8SWWSSSoN
qqY3d2Tw8THFhwwoHrbH5lKYxhHMyB3xzPtQ3p81XRxCeaM2Fskb7yrJHq+5FDxn3+s9+3vV17H0
G36u/75XgYncCjZyP+h+rwr/ngl+zgT/FcsDRXLo/s09XOVP/T4QUJXiWVymTeC9OH84kH8fCCgz
drnlOcCPzZ9X9N8W6MB8uLvDMSZz7qp/4IC4/5C2Z5J0P2/of5EDIm/0fxwIiKlr3w0Q/BVcNP0/
DgQT1A0IbaF5ky21M+8XuyqMdxEbfXgD/csoChyDir5zQ2n2GOK72YxMPyNDxbHBPU8LWVQTMMjW
g9ebXN4KdaeOGeafycDiJ6o3bV6iFa6dt6XppqAw4o4tus2uKwK+FqbntAF5FYX9GgQ32G4X7JY7
LxiPPKyJeKhDyJQZ4BGlEOu47fMgtvvjUNaerznJk9DsS2KUWztnkq6moBTLFngOzyW1UJEiq8uC
flbZ1Z4HIMDwvIIo2CsY+gCBYUla3ry0vdh2o+4G7FAIZ/pZV/v8ejCXagNrrwxQFSowl82XEUZv
Q4plu1CcdT9/cmhb3OCbtVCMKABodD3p5lNdRkisTBM7swNuymSFgFBrsW9UDFqL67UrTUxHY+Hy
oLfL5+CGm6ESR41QjcalnP7NbWd06xYaJxYx7qj4kVetMD57/DEsLBckeB+751WJf2ZBesDGHhKB
k0UWeGxcabbJ83pHVno9Vel9jhun78tL3apHWEsr4F4g4qziInhJB2nkUaekLbe9orkb164PmlW8
l12M3O6EV1gRrgA2lhL5X9oHhtX2ok2YCF9JfUT6ujOqqLwoSz/XW8JOM8dKpj4T6WPpaYvsgxYR
HGdE2xN9+IDWskGuilajy39OhvGTI7FbpbBK/EJMu36OT2YZumsmx3lDOPxrVLglp+78Agjhvl+m
iya0V6OtD2q1vCQsYFe21RlrJzJ/JPp0GNVofs3jJmM3WgPSNRgIBTlvS0W7tdoLNLud07rKFXjZ
+znhx4IdzyImcm/CqSPgGS9ooVYwxD2urMz21j0h7t3ifGlpZcJm7B9FD5ivqE09yAFFZjRMbC0l
gfsKQbfWLJz9BPeVKv6IsmZZ5cO8bNyR7VA6R1td6V6SsdpVfGxWpYvGASgT0123IJGzdtaA0E2j
GaK2KGdu689tr0LKMTTMW+kDzQwRmE3dYUWCQA23F6zcLncyh9VDdSgxd/gxENChISkT29lXF/c3
dWG+iQ7XYI44ns3piZXBsQYr4zPOHUuIpb5uGGKVoiy3ccK1vBfjtpmg0fUxh5fu5W9l5r4sTrXG
RrNXu+jFyIz6blFsxtvYhdWrWw+OEt9N7LtUb3xuYjPZ17G3X6bmGEZufQyr7tnGoAjj+k6x7X1s
uDeK111i1f6szeVUFO0uq3hvLjYYlppOiwDg760QGPxgJKJhbds09tYoeKXPp8d+7US3j/V0uA1d
wSK8zDeYaI82sIS//WH/3BH/V4E5+Mz/5wQO6N/5539VmY1/AETi4qr9M/H9y+lmyo5u7rM4vX4G
fn6zh30HNklyqt/tYipZyt/tYaaG3Yy9Lhlt24CQ9dfi3lJD/lVjNgkHYdQnqknSmwTony67fTik
Xb6U+rnELqlmyZUTZStDzD/fIhAF/wNM6/uQ/Nc34idBRJebbe724NlBOP/xEAXcnOEezsazhUlh
38MJNdfWQtUNdjLuC1EGtNbBE9lXN948XDVZ/eDoLVhT1nmrEfzxOmu17Ij25QWkrWGYzwjIioWu
HY7t89jV9apwYx7y0vYed/ldzTdc6XV+rtSEjwQmJmRpvQlccJ/k8wppqXaPTTGtPAz/K4pjlsAj
cGcY1GSEtthQeNAHA3GhoCOlWDvmk+I61545eD4/5jPhzGrFffaOefpWKWjxUaxTn6iCux42UrD/
+9YTpzEsIvhK2gMf8xzpXYhAlw+RQfQXeKKb0RyePLf91CPnNSrml1beKjOcXQF87rPVhkcbVuYG
M+HO9sJ228Utr1DbPlR2tEtcxNU8jo/ELN7LMc42olDrwBbEi3KZsFQG6d1mrt9o/fKqFbhZFpMi
Hhdo1ZxDCq6NoLGz18HRHhBlr6upGPxKm2+dZthCWttxkVQICAB5Hk0DQxWc9lWsW3fKXOdIso27
crxXr+dCZ0zB0CB+doOZ+bwhApcRjdcv3XKV+3Ixr/l4la4VMfCILMknNAwamjOfdJxj08xkM2J3
2WRafgbsmm4Mg2BuYV5HURj5vWZuPTg7XDHYgCi2JYK6oeyGCACrtNuqhDhoLN1jYrPKjYB8+kaf
33XjsNesTOAqVD+orqKkZpwf8ySxtpOx3OgTu9guTgU80vaHlus/9DFngJi0XZUjTJLuY5oYtwQ5
LgUS7ESbxJVjUKJk5+XHktbPsQMcpLCre87xNDAbJ9uNg7ElvbDSjXCDTxvcKG8x9sMm6wgNcfit
TOGqbBZX6eeVZU8tOjzGIhpX9BbALcjaMoApstHcUZqy2+mQ5xbLyVlbqSHXKNP4gei+TyzauhZu
1ZRC1OIxswxpHUe5XnwrkcfzpCVBlup7g2uhRgqjl5qB27wxjd5qmfJJIDzzG04YSn5kWEDAqut6
ltFjwMJD2yuFRexhFFduy3CnkBywEqAtohOJRCmML3bqdOxE6usoUcNVV09MwJLv213VKVm4vtuN
Y/8Mvp4bn5euRKqCQa7YE/CRNcrszJl4zBVlv+SkPOIojtfLNJPHEZisRqD06Yhbaxq0W4Db26nq
PzPm1NWEUbS06+exXeMY2cdmC3lZ2c228zal6utiwTNy8rkDePSam3di7AgxDIe6wtYHVykt25W+
4f4OgIkkN5j90TB3ghqfVoOzkyy12BpO2m9UjRhNJMzX0kTsnqoRBFDLlmGst4NW3kAYesFORpxi
Nh+pDXGvawXA+71Ex0Wu2Ya7Si+0/P97jP6RZSWfohwXsm8ObZQbk9xL/qpNdl1nmOFsz2cqyhzf
3IaH6a663qe9r7yVT9SU7XFo+OGRWWoI0q2x/0XPPf98XP/KRPzjRvKf395zOHfINFkY+P/47dtw
sIRiD8tZOPhc9x5heG96VarC/+vfR5erVzr4QBaofyrz8HrOrATO8lkj6D91fp5/wvAh8P7/fJ8/
nn4/fx5+n5yBmqo5uEj++PM0CFbWoMXq2baOrU3QEgnDfPrvP4v5716zX3+YP32TIVbVTieCeRab
7hEbylrs1B9uIH0+15j5Iv+2XWPS3ei7h5Mb5P5JXCebx24dri/pYfR3gA+v+oD/Mag2/LN+/O9/
P/2PvJefvwQJenEM2G2o73/6++V0RXApUbUzabVTeFHX6rX2FB3ATCHtBLN/eNG20+rUbMadZa2K
I9e0CzGeDbHZv82GPwdJWXLyn/cmd9iUP9v/uzSRf+oXjQS5Q9N5jb6DBLyTf9dINBrBUUHYpPyG
Uf2XRoL7ELaHbVD1xEaFz/NvKUyMiAYPEgqknH/uU/6CVwGNmk/Kv8Y7S7UAE/FosvBDqtCQ/wzZ
EzphnEbx5hss8t1GVfISBVUlep0ZnApHevcmzADCUpSVFZb19YgPSy2sreUiXHQt0ewkVq2rqZwa
In46W3oYP4yTkDdno9voWs+KHDvYDlG7vuhmi9/f7JVjMUfWtkurZ2/R0pViqR9lg6ALXP1SJCQT
oefkgVLjzTYi52ZxiR2VFbvvqKalCn/Z4msu4fAhiWAtF/olM5R8Lwpsj0VoramAsXaKg/ZrGWG3
18CB4Aa3S4u0ZHYLbfBzzJo72tCu6kICSlVb2aeTMgGey/PV0nv1jTqA/dPlBp2vEmrZNRmNMTB1
yvymMg/C0QMGxK/G0HOfaPdFzZbHYqgfvLQ5wsR7BfC8TeuCv+wy6lyI0yvTkgAV9tVL7f6AhA+1
bYbHT9TySFi9AnU8NuhQLDhje9p4dBRmEEtgZlQbLplrR2lITtXPqRRZHTksJ3HRrkdrfl8Sah1k
fmikg5HdEJp5ajTuufsOGikyc4S5E5iySr9hg/jiajy6EGN0RBmutVtkoeOgeRsN0WZx4aBYjjiW
k9WunJYQWNdxlS8HQIZmkaL7SAXIi5A5RikKDShKUiXiobwWUjfq5s/QsdcUTGLhQFiiHehrcKKK
QBqaUy/VJ03qUC6CVNjONuQ5NKo6rS8xopUr1St6HqJVLBWtVmpbJSKX0PvHFNFrkOqXbWPXdPN0
I0nwUh+LEcoGBLOJ0p5eKmh9QamB1NSEVNdcqbO52Gsg9kV94EgVzmFNtK6kMldJjS6RYh2iXfat
3iHjhaMLFF4qez0Snyq1vh7Rz5HqXzcpCfvCkJRXX5nB2GcZ9SUmwRapHKraUgeTVBPJwN45Ul/E
563vdCTHPqymFdAmEgMTjR1JQ1sPFzwmqvFia/FL6Rgh+7XCXVudfVXY+g4iGfJX5N1MJUTfXNGt
lRMTrYnAh9i11vsWBW4k76abalL2bdVTSjhmH8h59J8Y7/U8nlNzmAItKj55SFGLGhV+O7onMVrq
GnxV6wOqEUAkurNRGz9Sk/KBro53BtSZMfVOGFXvkCHSVWEtLznML7/DLr9xrTTd1FHLujK0X7qq
ucDkkX052We6iGYH1Gu7DNiH9FxhXGeL4ntRclfF0ciHOiHWW2dP5Vg9aW2MZ1WYb62avpY25AVu
k0AXWDMAFTCuh8p9TFvlqEXi4HoFB91kre24PoRghGligmhhEQ4FrvPSNzP4nuqqagsYlI5UjSLn
uV8wPGaR4e1EjYeooxRmN+K7wG3qmTd6VrlK0FBp8uP7NPibhyXnuv98LK7z/wmqFh/+/z0Z5R/8
7WQEwwL6Dqc7SRvJIEBY+OVkpEFKhaeig+dHf/mXi8/D+ueYuKV0akd+7hz+dTIyZvPstnBWs4n+
a3YC4gB/Phldvg4DO0R/Rky+7p9mzCicLEUT+PDN6nGURlyBI1dBEfKdtGvPFHxh1+UO+WyZPOg8
7FE+aTB4/wV8gE4R5WGJ4ArQZ9hyAzSf2Bs6ED5diN8c/pvFJIpfSOMwWkG76s2hwsbl8YCWBuMU
pzEVRpDFJzdGJ3UePNzIXLbKjU3Mx4f7dGBEjHYt3uU+mZ7CEc1SpPUdZhk+TUri7TQ1+oBVdT8Z
6lEphhPxJw4gaY5W21TbzBZpJFBTV/mYbGdppcbZdmTl/BL2+qG3646KJE57QZovaqifGkaMuPZk
vdvQyne9tGu31DFtvGr6tCv703G9NCB+zhGJy9ubjOcSs9uBA4LMIU5wXcSXWFrD+Wt+eGVxk1kk
lQ0h40h2VT1O6MhrJnKSgsBNLEgmpIk3UUXqNmQ9uljFp51r60lST6q83ppwUJx2vAU4G+1Aj7sI
7RZ9SOOyBGmi2OtBmcBvjQb0K/0xgbEiJGwF2yiWPo1i21KiWFKYLDnpPcPuXykAogHFANsywG9Z
JMjFVedHDprRPU8dMMC6nxay0twUvatYqb+WIbZwC4t03aUDjVkT4TVT+pOKBFNHk6Tevm7m+GJk
+gO5YWzb1HrtdDemzzszXhYVrhWOJm+4H+w8OrHMqA+LWrTUuSjZrraq9ZiqtxrLbO7eLst5XA1+
piaP0u2AtWtwfUNhw8qUhNpu11NgVbTVKUp1jtIw9G0ccHhU76l+Y1edEnYY0Atz+2AOJb9imPJh
Oj3VVvLDMYqrUEnxa2tNA0iCOcRRhjez6Nhpm8aLouevqE6QfiJnO3tmxUyR7nQVr4TEhk3DslF0
o/xG284lHQ6pQ+Aiu7JDh8pAyjsJCt4VS/ml5pVLf7dr+7Y1kybPaLUSSvqh2cqzRRvzHE+3OZm7
WSj3WGhee26RaGceHnDl2EztSTXCh6lMj/PIQ74J9ceoYBkSt+E9VXVHonEkEfTI3Bg1ck7meqdS
N19CZ3xg0qaXF/It/nuUJqrJ3mlmvh3b9BRBH9ZDGVVxxM2ombfGzM9ShMml7bQ9WNAVQd1DxNQx
2OOxVqz3aO4fpYoH7AtShnUTJ8vOaAu/VnH1Z938bA2uu00jpcCYx3qLxxxUo0aBNCLj/CF1ayuR
tM9tVxwMT1xnhr6P1eVxKEFPCHoxVo0x7uvWSla8YYFwKPktpIp3WvmItWd56y+2u5X9PWuy5+6a
QYSYXwwZBZjsbjFx2zB/ppRi1aupI0agg+KQT1yeUsQ8M1OcqwFhTudA3wxivkQqAQqNbZLKr4Bn
0sWY7et08D5otpabHPtBt81rw2xSXLuQFcRcg8KXj7g2XmAoqXe6V25yh2SdLo3PHVgUcOH5rsAk
ouU9ph+soCub99uwRHeaar47BQu9SHevoYmG2yhSlA2y9i30whYkCM7XWXfedRiDa63MITDZ9Xo2
aDUrEt2Uq7NNRnq/7ZfwLm2WdJW02n2ZCC4h7E8/6ljh6iHEGgommKfkaYzFTevFu8JyvxaUoXWP
DwoshgqmpKlxU3eWwuq1W4qnAv5LdL3o0YxvWhCK1awj8Lp7T+YCWpkQoNHylUylh/9IGLgql+eQ
LKjvECywe6VZLUN7NpP8FBM9MIggTEQRNJlJMMr2kNPJnUUmaLneuhBBuB48KutsmWhIiTa4RBxU
4p2AVEg9MN4Bml6Ge4NABJHkA81oj6lMSmS2K5EQyzM0vuuumR8La7zUY3rm/cAvgbhFQexisXBe
9BKwIlSGZJnNmLz+riSsodndgYbFo6lOD6XOSEqowybcUXtmSWMDn2qZ+3ByG7VSZkGIbusALMiH
lCojFc/YgDTkriRC0sosiUOoJEptZjeZMwHOjtXmO3tSp/tFplGUjDa073yKTKoA4dH32LaTwJM5
lkomWjIVOjSYU82PJtRzmXv5eyr7aehgQvnPU9kG3kb570Yy/tTvIxkkO1uFb8dQBv7fZFr7fSTD
4ckKk6kL7QFTBxLHb2KF8w/+Hc8GaFMZufg1GmkBP8ba6ViOzh4JavJfcXiS7vjzSOZBXPBIZzqa
heD1TUz4hVGaFQB1pj50Tiy0D1HfiPK6H/XZXqWFqOkoKhP6ityxo7nou8So8iS3t/ouN+rT+GUy
ujsqGOcg7spsNVKFRCVGgDyNYC9bkiott/3KS9/hECZ8UOlSmpWO3jXa0dBxetYHygt9f7cgop7G
odKySw+j6Q58z84DHl46IaQQPsmRmiinLCzdEe2kAUekRC9z3cfn8BtFHuezc7ZKlx2EiekBr/o3
uNz6hpjb9IBuQp5T47r7xpw338jzgYOYjlVA6JkukehdVu0IMaczR3B7TWHkYRysWysyZxgn5aO6
5PffpHko9h+6NJja8fBOO2GyavuU55nxHsvivFYxT/ag4xmdHoc4sVYGA6EilEApeARE0ldp1jU+
7XnE7VU65loz4ydsfC7rkwynm3WXuRAzU6qsZyX5oXvOfTGYBB/SZN0V/FIst784BikNKmyb3cjX
98l1ZK+zQdNfNiY7dWF10cgNVJG7902u6ZsKADzeuB62RKrvYiB/pRBtUIzJ3ogNEMhF7PhUJi4E
/jIy7CmeeGiEB6PWLyGp/tVixLhOTX1XZexfQMePK2+e9P0sNHZng/pDrbzAHbpipYRWiGex2xal
9xbF1dH2nCOcAllBDe3HWDwu8KhPHj2FU6j8sDx6H9RpD0nwFLU2ef6wDep2sXdFKTtXwvqrr1hY
2PD2/UEpPka6CKh+KZ95S/d4DoSzQwHLNry9Lpgme793q1NvpQpzY3imwRXcBvG+KNZuwxrZbeBE
JRzUWisIXp1kggF7qJ5J+LQIF/2h5xXsu2EDYzrZThZWZVttqvVSmvtCzDdTYz1pXX8itnOfAqpd
JWr3WETxbUyhY1CrgGsjqX7ZveGLuL2dnfAeYNFlaQY+Ihr9OPCv6dBIkjnQ2vA8oHnMeajQG6R8
tI0SB6pZZ9vZ4pBaNC/HZg1nPLI6eoRUM6C/cjlUtXOTUkG6qVxrXNVDaawKQZ6pMccrbL8/YHUf
ErD6uKeSazutqdFQnSN0a22rIsiBiWzgHEIiMLUUkaAeN7PX3xDKeRZKrK7oKxN+Ohfk7wfjq5iH
xaex7HZYagAhDj4i4AuOI6t+ywpmSAa9Y1zKnWLy7gzlSNflySdZmIXD0Xm2RutOZ7W3F1XGMrbV
91wTjcBw3atYKBhTTXanamGam7FJb5LIhqOZ3Ra5OEFfUdiFOoSt02ydFN5Zj8pmY+fcJ8Z6ZGHb
0tLQlPY94S+BD1f9CnXzld6AD0Jk+2Y0OOcjwlehon+anfLYpRRbFEXxWIy9vta94W6eew3CRPFS
zebRUipyVNJng+bqmJN9MVK3djB0qTNt2827MQJD1y3IizLLPFjNta1M/XrJuF2J5b019JfG9Yyd
p2LXqakeWehpCNw+xv/bAiwjCFD6UNw/iEN2sFz6u7jsIRrVar6b1Wr2BydDFYqN19o27/qCftWR
VsWNNoRjQHNqGqR1jT6bqCeBJXnNsvNTLDPUZYvJMtVFIMLK2WVZ6UEdNdGHhga3lMqNDS7ZBxvn
YqV1YDfVcLROyWQRsu2aCScAFBBDb27HkgFmdjGia3R7ZgnpKcNNCAAbc5BY6RzMaVxfF864n4vw
tSgnXHowLta6AwVtMni31m36YTslt7AwXdZWGW4i05h3Nr1y+6o2Nxmu9SB27HzjAgT2eR4u2zJt
XlvXopxWgSkVbitG9kus0J5s0alC6HRUfTbr3mZSSpxihPkvYCbqjdNoe6p5r1KYHsRjUnfLPZmQ
OozEVQgW5BAPw4+MbPYmrnvjoMPIWVk1nuZsispdXJbLwzIWvDbjrGwsQgW+wnDvRzTgkhEUeypd
WUprLtYsi1bR3DuE3nJUEvpSXI37TZhhhC/CAIjhnas49hWxMha/AxZ+5v9zPcT3pc4+PqPrd0P+
m5xfrLSr1Og/7IaCtIJehO3k4uuYNRrMyCRPvpbH5z7BhhIuapBVidjW9XLEYnlFqj3AJnYWgIXW
RgrfWUejoBy5PXlW+uGSusi7EEGCoh70XMVC2rSIELvzmp4ptrFLg+1CHR+1IXurMuWct8ldRuJs
pbJ8XKctlSGtWX/mONgicmHkGk38l4nJl4SIF4y5+lJTRe2LITmF3kAiQFNFMDZtuKrCjBAafs50
SqPHJs5JoocvNpcpX+ejS9P1FwjBF8ugYyXuT/W3SaAvPkLAUGtKljOqkfNHdEksMAkWAF1RLota
q4GSJ9caLWYk17Nj3jKJmJypliJ4gGna5+R2O2cIr9xwLrZqMh8wHnoy8OmnVvlETc5pKtmh2HOB
QksHNC/ooem0IxL3D6V2v8aJ66ONgkJx+y7s0k88MZtuqPptRyl0V/Nfx0p5VFOVxvhjkXJXGRwM
8tmbN6TvNMlK5osKa83ZA4GU7xo3WnV2eyDmxc0t4+UpuKmnSD/Twvs5oatlo+vmpwFB2McddJek
Ef8zD3BRQDdrc803gbsSPSFeyOT2ygS2TyZ6I5h0sHLYh8WqitVQE1xtXD/0xifN4IuDnqL1JD1m
qFZbo+hBV4EncEJMi5jVVbqF5BCjGRx4XhltrVijd841ThguHtpx5DraAZ9V6uZcJ94VSjPmIoIk
g4Ib00ktDbNMsYUkx71UT9e2NhY+tws2GSCCN+Av0X4WfC/kfO4K0fCjuSUWXOZOlgoJpXOGnB7a
vWPEh3FOv2LNSjbR6N7MWrqtlm3nwZFwty3AJ226cpXsPs4FTijTLFa4w7ZpKmBHOAwyxvJuuOPG
HqN3106u2B/hoAzVmBereSPTJzujR9qNa1W0Rz4+99GMrMb97VGrHfINFOd17drdGRGsJ5ibos+C
0DXqS2m3BZCBEtzQOjEtTXmKRVWpK8T6rj1ghRkLdK9RuAKuvFDmy8yrU6pWogRmiKkiAj+fUEye
HSoID/6UgXLnzrldvIgLfaVsFCfFCJ0p4yYxKdUpsiEIRfUM1W5Zl65g3TdHGvXL6YPRlnejyc4K
k8NXk7ZPZkLnR8HgpYSw8ykZ28eO+Ubnx3lKKJePHVy/cULCkrmrW2WZSX3gKDRfQRjhOJmZC1UO
to4jjddPvnbM5oOHAdeLr5oWfHNem8HUOyfRJzfe4FxBmvX8skvfNG8OEPWvqCxhuqnqd84W+FRs
9bLSfeiSxDz0g/q50GO/XVKVyJJwd6YYzoS6KDCJcbpylfCZa8aAYOyPdix2Bg0dK4CjINtZyZhN
fqtnYl325K+sohp3PHevvBH30Gxx2FldtxsEn+hU5xuC6VhlZg4pXsPN1C22D+90W+tMu56WvWZN
sjLjm6ymotGa/XEy9lYLjcBzxUnpygaJsr8prPQHzFicBBoptjk5VZF6soA956U4mfqNjVRHwXXQ
tkp0EGr1lI3Rvo+Tl97pH2qvwj2zqGtqmifbucMstGLuPc2N/prUlJF0Ck/GItovVKPt0yEnEZs+
xPJqT1FDuI77mhLEQnk1i0o8FYuIIEakx4kK86ADDEXp4HI9ipkUka0910LFzpNdxrF8y2qXZBzc
rmL2XnKroqw5fipGNNC/L/TfF3qDZf1/vtCfQZD/u8im/FO/Xeh1ePYe3HrT0eivZFH4y4Ve+4dJ
3wcGVx1jO7Sj3y/0MKDJS7B2MR3LMLHAIgP8tmMBne85OjeV79u87ED6C+4Dw/k/7gMTiKJk52N1
MF3j24Lzy4XepCK0NMIZQG3OCnWXCAGux22y6zTMqT3rLpjWn0L2wYiU+XbkjFDYrQM/Dn2L8LcX
EsxKsumh7WsIvBVpB2zVnqkeB9hkdjFxSemCZdhxu3qpoogar03sRjcasLhr8vQuDnumUUdjkMk6
G5jXvPzITS/154H2DDN0Xxz6x9cuEjtg4f4F3t1u1Nl1G5Y4J2NvrJtSIdTBgmURzPbYza9lkwtD
Tf5YKgThilb9TOrua1z0H64Cwq0asnjV6tNd4U6o05P5wjT31C6m7ZPfAuljQ45e0KzteT6CIL21
NcqXppKasClMA8diLp/C7ssKWTeIpftoBQxknSckENTED0Pc+0Xc0jBSGR9q9mzN57iz5UWZ8tSx
pX3DkxTUvqX8GeD2inDhVPhlbBD8ro153PP46b03LTFDsU6mtmDwFDwZpzLbMbE0AKOYMnpzqtdq
yGnLCm1ad7qbbygoxcamCzKVdkIwYY7G/sLDHBj1krcXURkpqGQOjhqfn693uEO7Fs9H3ACALspM
94vGfq4WUFTjkI1rszXhz1ZMj71cskDbKdahF1pb2xnnC+9NJGAwtEGKqSEmBnOgMJruxsxMrkNL
TYPRG7pDHAlnO7XouCWdLF3QAFDC2m9g2M+GL90DcojyMKwaaHY7NhDvAtwM44BH9EVynLUGG2TC
M3KHMvYJd5b+t2YEOVXzVm0luU8duhV76PzsGpAqNCJqPqWHydrTSnNL+QcLKdFZWzjFn8VECYs1
k52lVA+A51Jh16JNjnpenpcudd3YRRN1F6omvxuVSa2Ew+0bWk89veY4FCK0SslGv+Qh3CHFdhZZ
+d5V2uPoVCNNL0O7hbXIlkl1jW3d2/maF89kv299JaZDddccf4HhNLZcERVkhaXApeLVzImua76r
BZMtGwToBJIGHRUtK3L07XWIQZUTjZRMkJZD/s5nLjq0UA5245KV/TpOXU6YyXDxrQgC/195Uc07
V9P0S8U2iVnJ6Y49V4T2aNQoUOp0D1+IYJGKlRkeU8aM0jzOCvEZdQlBiHljBTNiolqhe1Gi5inH
KOyHrkcTF9vVtSiqyk9VhxXVnD5qZUXUqkteZ28h8oEl9Wpm94JwhRC9DJek7F3fsnMZnnWavTfY
n4xrr4MaQil1Y6yzyteY9t3KKpMXQ0kPuZk/T/bobI1OsVfYS+RDxLvmV7EfMu+LjlD82RKpUrj3
jHvnRosP5GOkJPW/7J3XbtzY2m1f5X8BGszh8lQOUpWyJd8Qliwxp8WwSD79GUtuu2132PB9AxsN
7HaXS1UiF78w55jVianHi+kGH4dcQ3MhxqtuFv7eF2JXze1tOwf3JHyF+GhBJzS9IjAD8gYfMW0t
ht3LtByhthTlUfKgFn58E+mCALUILUSfW82RXBuesDjHyfDaMUQ/ZF549i15qY2spycr8LlTyLYo
udgWU0Lco10GyTOosPKTm3XpDthrsvDsHo2ugomTIOCwWKlI8cQbFbRUIYXel2t4iVdgtW5dttHb
VAHKoxJU+aig5ZnClxN32i0nrXM3tYKbh5WMrgscC4uW2+W6VzfPrHDoQr1ppxDpaZgEW72tk5tc
AdThHw/wyIGqtwqvrjljsK0Vcn1W8PX0HcOugOyjQrOHCtIOJNZeBwrc7grnrVUo98ye9zhMzzqM
9wLWu9MDobekbm4tBYK3FBI+s4HDx54DJl4B42lYqp3JHpvpBLY5hZUPFWDeVKh5n+XGLi64a00F
os8Vkt6N1QxKYer1JjS2suSTOgpiHw9we3oFtmdvigRHwe4bhb0vC3AsHFP9f6XOH46dfxVabvPX
svwbNcnPOkvfQUn5NUnxfQnxfXVhfiBTzeZ/WGZM5CbfKx0LCYqu4yb7Jif5063DH1m+okvxDzTG
yLZ/p9Ih/PjX1YUN11FHz2lykNrqr/tJAF5OrWeOvR+czUKASXdQiJEFr/yFllbG5tqJizb8xHpW
XJMljxuxUMbEGYciD+wLUQYZnXH2nLFTnZiLIIaLNpNts0SrrXxUXsyZdGGrWfdDcM1E/g2weoJ6
D/5eb241qOdRmzCWbbY6NHQfKvpYazstyZ8dAYZfaaaiVF5nCqTuUhww2t55OsktTPYXFsx1YPyo
1aCw40o6mQx7EhPkjFSg9l6fdpMxcOZoxnNacEggGN0L33usobzPQr7Q+l3iDs0dlSfgPgV4/tGM
ARl0qlcx+atMYePTAIA8nrjmPLMHxhRQLs3B2DXQ5geFnZcdAHp0ngI7LVB63fL5tCWhj201f2Q5
cukrjL1MAdoLhbY3YdzHNsERMKY2QuHvDRF56xQiPlGyR+Q4A5pFYPkkTT4V0PP7NGXAWZ1HhdXX
0JFuCoXaJ1pkLxV8/52KbeCvWOnSHkDjA+mvFa6fMX+xJFMFA8V0XTjZvgWmscDD92UqBn+hK+y/
qEJ0JHgSrGj6jL8YOKFhvHUmICUyA2Q3XaRsQpmQMIMa3oMFVMRApcIGJhU7MJI/MJNDUGilfOT3
eeycT3PhXtpkMwEFgF+fHkAO3koVaCCwKbcrbAhNfKGZZU/Hju4xWtR5XsVY97ssAAkQOd4+b32b
5naItwlCwJFoiya4NLE8HrysGraQIKs930utr20dcCRBRcFtCMo/QN9rjKg9KjYfgzPZ2xruSb7K
exhAxlQhBPRKYV54ed5/9CtAQEA89cf/Or/3zk+xdf6587uFkfb5/5b5Z/H5r4eieun39s/4YOo+
61e2pvRxLuflD4ciK1kORevdn/8jKI9YWt92Lba8X9vGH9o/9wPrAMvkuNQt10C09zuHom38pf2D
cE8DytnsYF8gcu3nQ9EzIiPPhUPMFF6lhdnBLzHkNK1H2p0F6SXGXobZhuiFPbYzEwJGGT8VgafO
xo0fdNsqp9zqm33qaJwZ1FQ2I7E89aqLPPEqcnDFw6Tbj37AZPYdjIp3az1M2Z0rQvB4CBYQHyF4
qlLveowsosXErC71HL4gImlH6ji/9BOEtWEVzPbA5Y91PCPfnbyhLga/F1CsIGk3IpZjPjldIZs7
kuyrHSqhYqWF9mmcYJFNmMY5IFpnFY+knQ2Dfj8YyJDTaS3NDqomni7SxCjbHOG8uHxOTnv+3iZA
zkMpBapsxFWGJeslSAJ/PYXkAPUFmFZ4RXtWfeEezArRJ3BfK47ELePa/OgowHSoUNOhgk7bIr1P
FIZaU0BqEaXnigqOLQl6i5nxudvfiaSh3oVm7XrRuVZ4a8x8F/aYNEBZQF/Dzu5XpcJhS1tvloGY
OLGb/pIQJUgAgFM3cEXUSXBw4GoX6XATUPQh5k+dxSyNnacg3BM07gEqd1TOp9nE2Nh7QOb6VDzm
ELxD9LwIpuoLAg2g3OlgvqOsB+0C+BumawYVBHtZrbDguenioHKvMwUMtyTocJOstEbBxKVWvTQK
L27q7cmEN27DHa/0AoJccjby/mgpMDlU5SOZlRNvCrM8QbfiK4y5Pkz92kbe3pZMx1NUAo116TmY
NDsegstG4dCBFa2yWsO7rV1lCpg+A5DltwdqDWXbjemal0GdV2sxDSOqeZDr5jt8XWHYcwVkTzOk
fzmM9jZq70YFbR/S8jKyw0+Twrnnmr+NWgDvTqc/2BDfEfR7KyPnaaBg8D5UeHqyCwNK/AwtHiHz
F6Hw8YUCyYetuyewHIArjPmub8/Je9Zz9Z77TIRqtvPY0QZZ/UDX2zBFADwHaO6y7LP6kHbBU5Xp
N50jvvj1tBTkBtfkB0c0fzV5wgG5woJ84Yqc4aSqDmPansoqvxpUEDGUxZ4qm3Bil5Ti2dUg5KTS
srfJe4qxDcPi1nTny6gR7RZqkSRZFQqrtFzel2dILrbSm9v15MW0ltaVcJ5aGsVF0Qf3ZWAsIEwe
hcqPLzpnL2NikMiM72eo7kMi0Sj118BIELd3KxPEHJEwSDvCJryy2u6CrA8kU353rPrkxjO8ZThF
t3ONkdMVdEMxEdULU8CcsykvtkFk4C2c8mRjZe42JwB218CsXphm7K+rdwtuz5VT1ugqSwM5WjEX
V/6oPXp2+VYJ/QsA42wJjOhhLqMLx8hUv8XU2lF8Al2EHnuK+tnvNWbHWXyZjD7HhK5fFUBKGB81
xpn+5dWCZbnWZ/nat0r25o43DG3qvVUOn4yq2GCZeZwSDydFswnaAnjDyP3i261N1xR9LEe0uJks
N7U/bVm1rvRaXAVJftRdnBNtzfy6CU+p1yWrxM12ZDQGB09z7v0+xJTLeNsC/GTojrlFcUAP3BiQ
s8d0XDeaeQmJuLryquCGrOrdmNvJsswHGvIcdlGNfAvlPgQhr1vxWRMEcq0N9r75HDcM/7upGxdu
ngPJrt6i4CWpvZu2s24yvhOeAyg2ojJfgBq7Ishro7Nb5QjLiOEIKdeGWSZLFGLbuGk8StKclWsH
gZG/zvezZuU40SF3IiKDTALV+mQ42ppRrvmFTjvHHG+UfccokFEgszBWvU+G08hKv/cF6C0WEKG2
ynzrGDOzVOKLT3o7w3woBAIWDD+RPW60uLk1k3DrzpNYErzbr8cEZSl85JcMjzgxCdZWOKhThqa5
jNgBcNXUt70zXmCtwu1kNcR2c9Zn9UlWdb6vDXmOuvFGn6o1ws9p47jesWqCHbRIeRfPU78BXvea
Bf0Iocm7Rv2Srud8tv7z8X1tL1Xl8c/11K4viFD70v21mFKv+15MWR+U+E3xiRiJ4M/7oZiyYRph
70MW9m1g/oc4DuiDShMAd2TpoI4ME5fBH7N0xuy6zsEAXOGbpO43Zum/uhVsH7RxEBAVREAjZopf
SqmuJwbLqxx51euHiCnSdFO12x++lL8xEX+FSvxpFuRT4MlgfBXA82doz+f9uV4zkKTi7mnrK0uC
XlAToxazdWyZpXUV66Khn6rcMbueq8T1T3Ece490XGZ27cMyXsZUJ+bBdGvcU9W+iceLhNm6ayXr
OSFqo+dynqb8KiTCJ6+0/dRy/TfVbafjO59iYz033s2YtLtwarDIFeOmTDpj5djNgaDqM9ja53zK
PmuMnPq63pNE9ogsn01wEnNztWvfzPde3DbgCsWb6D0eNolc5XSA26SxqTCwfS86R+6agROqJzMa
VnxjtUs+3mPk6ns9YORHgsuBfNrXvA1iNNwcSVPxGtYw1PyCcWOlj+QGtmIDe+eCECO58kul45Uc
RbWnP49tebBsrUAXVd4NBhsJ07wXI92SmXQfs2JqSUuRL61rHyZblJsmrS/LeJSroPGslZOEzjKs
xK1IOD48m3SAaLIuiwiHSdda17lkgDoP/aOWWptZ8uhgHkJen9m9pR7Jvj4RNOArK6Ah9tGTwl7X
wAwXFHzpztWZZSE7iZZjyvgvqam3DeJLmKLOH42iQniH5q7qtRtHaijjzfxOFgE1uZ89aY2widmt
94HRpae8k+SdaNmh1TCS6UZjK6/mRdS9WGm1YfpKqg+WSHtsWO4TxRTOpFuGDXDgKjIOwu/FqmNo
P3vOS50wUZMTaeye/eKrB5yfJm9+waMpsv151XTBHdaUNzuRS71JXpMGfZnRMsEziUcwRn9ZRcXV
YLbPRprqeAlRFEIJ2edJhpgMSG3iK1+LhfnfbjuqRE0PmAL3V+ix74eIyT61MkifWCjZ4200ds2q
8qJ+WYao7m0clwMThVl1u4Gf3prAhlCys64Jho8ZAeRQBty3NA0+8fxXlD1wBdYI/lojQ+uSISFP
jzSpl5wr99HU3Ja2U5OSYJ2j3PNWcRVLLtbx05DmXD2yAY8o+T48b34C2gy6gnkIReOrbUh3Mwj9
PotyVtyA+0bNJywo6pA+aW+d5j+RJMlAks2TZxkIWscQjwApim5FlpjF2qZ+hx5IWzQhRkzUjtBT
mjsnwmfLnIarHLvqfaZbwd6Zx/TKteRd05j09PVrgS8pyeoc9mX9xegaymD0TSjbEWJlEl+pSNKP
tt2tcpelXus+lMF63E7xlF4UFes7TbsRfRqoyU3ekBVY4E8dgG5i361WIqirZZs7tA9cv5FVA5Rg
xQaLjdkWaciENdbcmwrxeGor7zH2nddEH5sFx1qDoNLYFDQrQzwdGQ9+1sb+KLsEfmb/FPXkmXHm
3IjSWEOdvKkMa8+W44ZQxZWrRQ+Elj21cLArQz8GMrqCQnA1EWo8t91mRhtJFMAX9vw5coZ0lbVd
tiYrcJlBg/RaQYoCAjFRDycPuJRoMnzMuJIQ2EqWGyg8Ul9D5qedp048FEmQrUOzfW0JeDCb8aPW
vjo9V+LgehvLJqR0GUKzwiYUSoaCaT9p2pomxXvwomGkOxHmMo1onh2/7upTZlmPRWUDlpxJSRjK
CC92qpKnssqume6TUrvtpkos/ZzCzLeKh6xpN6KTj1LmD22jPeE/sq713pmveOA1G5E3nxvT2MfC
+jKG/rmZp1OQB9GqLBBAOcjFVkTR+eQyUS1TBhPdVfjTZVTEt0kUPSNU1ZYy6/OjQGPA8K6DdVEi
UQSD/VSa/BZlfJckVboKLO3QD+1jb1QzCjWr2ISKX1Lz8xF/ybNnGWScAYSMu6u2r+ezxu7rzk1R
+00Tu6FIkC7BXd5+DIO2X9mdV+y4m/1Vk3cr2x2GHV233CJqqsD/VROjfD1meoZdOOoQe6LecnYy
D4wds8Er6LQ3rc2SxjW26aAGflpItAny49k17hhdPgpjvI0c4e5hCz2qndXCjubwK5T6HxFMjFt+
cOi/P3RBuvjqicuaDJjyzw9dN+9r0zeb/qryJUqmc+rfufzUDtPX9H8xL36uItR7MTlnsGOoIENG
RmqK/cM+vm0rUr9ppK/8cB1mD820ibX/ga34X2+h/vyHt4CnmOeyz+VVzY1Jxs4iHj7Z9e2/lyp/
+yYBg3uP2sqg1fv5Tdo4y8a0lPLKEndNdTFqJH/s//0t/vpr4av64S0UcuWHz9Eh/osMe5RXtn9b
NJu5gPIoz6X3OZ3+xzsh0vjlAvj5ndRP8sM75fHgFG7Hh2kmqAclKmfz0BdobliDHmZ0Af/+wdQP
/nORZ/iIQhwg35YFolP9OD+8XRel4yw6QzJRfjRo0zz3LoqPU/Hf7PaPXuNfZ7f7on4Vyef8b3qN
Hwa3Bg2FAgVhj3vfWHEffhvcGu4HQ8cVzWHwTk3nVd+MODQoFhobin9e+HXc+023Y35wMUb7ns0m
DODI7xlxMPb8dI042IMc2zEZAnMqqbbjl3PCixtRjlozXY5WDbDZyJjzXtYeUIo3fZ6J/8Bkonc8
3S2E/POucjOmEJTLKSeYi6YlNJHX+bjvdsIYvGlhueZLpKMFrILwM7i4WwZ9xdWUsVRtZtfcgC2I
qHf19rJy3be49nniFiacgFJtdvveIiECAjYRJx6QZcO5mJG47bUy7yj3kZdPy9HFbJOmkTjVuoHT
AdUolofsiKOtXLW1nDbCoZrtyONY5KDYlpDfGAxhODrZw3TInOTCr7rwSNJgtsm0ADEeyzpiJk2X
4HIC2zZj4MUrS82wG2q8pZF59aoZeSI2fg8ZzNaeck7v2h3Lgxf3d8Rn6BQ7SCuRcNbLKJi0k0jd
F1nyoG8qz9giKnmb0/QTOk3clPZgFIzDwZbWdjrdI08O8RPEjBcsNjRx+tpFs/lE2Yt1I++qzeDm
zcprc2agbGPggAZlcMRWaqxdqWsHux71CwdlxDaBCreA4uBeCEYLPizuWzohhmvTnVYDfa9sdCy6
X117LjpzSHZwR3XbpTyli5szJLO2Ltn5TZl2YcTAG7wJ+srTUEd4ZHQrQ/cxGd2WUPGJMnkWwhXn
mN/dQN59cjkZ1OwLLTLUIDLlb2J8FWiwPVHgYBRiE+Xs624y7zSzz5M9cpj5IIYyOCfYTynzZh8t
K4MXKzwHyFqRlSLQGIwguzBx+IC8mG9tFEnj6v2Q/A/toMYa/zwp2ZfT31gI1Wu+TUkM54NrMyCB
mECe0k8WQgN0UaBDbfB1yzMAG/55crFychnMeq5n8cxhQf59SmI5gKSZN/yR1fjbe/hfV04g2AJL
/QygkIh7sn55mFpxXoMR8bpTkbkkBFV5shqrgl7yGpLejGo7CeJwdtd2POgxbtQBIZpjdKaBO9Wc
Srm0p4TVSuMnzXSGCuCgdPaB+qDRMUa3IbDcyWNrC7USs+LCtvMEFKwWpoPJNiioSjJa3d6+8vo+
EOXK0+uBfDHHke24NLQmbT97M3kFM65jQg5Qc49iCFoa8Vhs07YOLuNGj/fRqIRZUtr3TcXexcfa
2/RVho4nSxktNHI4kmI3bfD9lScvz/ob6LvyWS8dpwa+EEfPgy3GTd6yEGHwW9HKVsyBNcfeYMSP
8acZrIl8aU3XhmcSh9hX8pJAZXky0kENdOu3SuJeRLtuis+kqLfLvEPavowxSOxjJ+3uTHJdl3yD
zos/58F2iHPJBADmJwuQbY4C7QbFGGltygSY92RfYVEhc9rpOpxlrj6dBIyKTQbldGPXBops8oLU
OgrfIr+mbteEOs5gowbyGQSx+cmaWQTEM+HVi8zszWc0P86xb9poP7EKf7Sc1kIlaWJUqWlcZgJy
z32fvfCVlvsmcI1bo030fJnqEAFtiYvHIRzzNAGaXkWTk5ycpG23QZCLdToH/mlu6BQKtIHYCt/p
Q9H0ggI+v8Cs3T70BTFbbZCWYEAS89KyDDR+btxm+NbQcRlj414zENA2nH3tlZVY9QpRenXE18Im
ps0O2ENmoI+av2mARr1Jm6Rnvy6iw1glNj9b6mmEU7v6oUhaYKasIxhddRzhzeSX2zrCOEcOEopR
R1DBzWYQHnKhuQ+MNT5CATEvTM2vz/z44UbLQHW2lckCUAj9PM0x4EqozvsowRLBhjCl3a6nmxjq
02poZbOekn5cR8McblpQJdF/J+sfdSHT0n8+WY+v4m8UTgav+X6yetRwLqA/F9X21+PzW02IzBth
HVR9U6cecz3O4281Icfn+1DYALjPOarmwt9qQpuTFU+37kHuBQCHLuo35s+emv3+2TY4wHroT4kH
ouAB/8iY+Oe2wTPqiHSxuTt5rQehBLIFLI3YzFdeYwdbb/A/I/iVm0YJAeHmp7Z2KFq/V/LrxEyf
EhPT4DkOK9b5SFpq0rf6lP07pI3eI2ZUCHlVyvpUW1lyh8sHWEHMigpcglKJg539ZOUOh3gJirzW
Q87riH4cljiryYS4+jnedO9Xa+OgONzboVYAzjA6L2+fihgmBVGwUBkwDFm9i4JxY5bsdA5FQUrs
bTRT3DAlDlPGZUBgSUCNEEB5OJPGgW0sGbTpVssQR0slEBwy11jLsZm3OmmwD/MQ98YuCyZ3Xltt
P0WryQwQseY9liWq5lBDnmPXGg7LenYv+6mNiTE3K/c2cV3Cs/D4YWFCQbY1COHubjMrBw9DTEF+
Hk03NreNx/+fIiJEZ6nE6zXojFQsxrjy9tipLX39X/HzLrsxuTv++Ra9yj+/vIq/Nm7qVd9uUmW4
QFaDCB/IKjEWNNffb1JWQVQ2tkWH49BC0Vd/u0nRGhquZdN1B6CJf8U9GoYD6wpIo/ve0/3GTUop
9etd6nkODlCSEn2mIrZyffzY3A+THOzO9uS5Gwe20132sRpgRitKCgO9c2E06QsutJLBtXVndRhQ
B0sj8M+TbzitN+AZ7MWsCCwR4jtdMVkKL8rXiQifheK1jLla0PbljR3kEebtKtzKIbz0Feclrr3n
3kpu3WH+GCsSjKmYMGZtL8cqLnb0S/j36XQKRZCxQMnMuXnLe61kZ2BJk328MhV3JvX7dEmNdomK
7d5WbJoyi76kLQ9uoDW6PZ5jeMx0UHjzwdqYsa5vMJ9gEQd5M5rMYzHEAB1UPJxCUREjRXNpllbT
p3tdcXMkvihDkXQCxdTJFF2nR8aztjJ2voq8UykGT1jbdyIgbYczrLesdY8nEWE/vJ6kIG3EwL/Z
KZYPYUQPTvClqNBCm3Ba4P14Q/fY67AYavIhFvC5h0U/hfnCHfp44YzT66BDyTK8jWcxIQv0+CEy
CvocX1vm7PoXNpwhogF3qemdkSaeVFRjVImHCi5R309HMsY4j+aVAnnjH933YXZtKqBR5Lg3Pt9Q
mGCA1iqxkXl+EjCQ3ER/zsaZiB5mC2RKqHW2J+8LyEkpBCWzBqXUDaW9qXujBR7sHQ0GkeQzwdSe
9YeEHQWK9PQ4w2ZCUnGqYTVFCtrUQm8C1PVphOZUW/3FCN2pC9yNDu2ph/qUB2iDHAWCEnXkLWYF
hzJJJCER+lZX2CgeH5f8mi5k6tHwEoVtv+GwZV7Ox5FAp4gqazngFViQLVYK1ksHUDWnFOairD5Z
6E0txbAqp/Gz3WMm5CIHNRGVGQFP1YUx5F9CrshAWKyECIeDAXLo3YmhRfcFUzqakNi6c8BoRUkC
hCxsrgxddowVhnHlUXtirieFXVMkrsnyWXgF2UPa8SXNpYbDNgZfaRfmDTy1dVAX+OYV3KtVnC+e
h9HJ7AGftWAV9wSWWU8FcPxKIcLiKEsWc2ffkx4VX09SBPswYzRQee24tQdUVXovbQIxjHQ9KX9M
Ao2MfNEuuIAuQCZKGIfIy7oCD/b9gDGd0I8B/zGjbiwytyyw2HJqkfWQ2KniGwF6Cxy2PeyJRvZQ
q0AOpICkOI7KYDvVksRnxpSrTor8kKDrXRcDswSoBk/V4KBGmLnd8phLupQEzceEU0Izt5aET60i
PxhvfVwCiyqOz2M8f0HqB/ky8lcJyjIdaGufFSx4wZ2sS9eP0V9E2JG902jbC/yHy1n3PyZOiXkL
a3Xnxxu36/YJihkB3yUfq6s86TdYm0nS1tpjVbdIf4buYMdldMrxh2U2D9PJMrY4Hk5tKq7Gpr8P
smAnLHL1olA+s3F9IF36sdA9drEhs4jcYg7TzDPe3eTBiVn1VjOWDd8yiAYYcJvin1pmcX6hS6Az
6AWWCIiQ7HUOsZpwQcxGWwsre5vm5r5OvYe6SS5zYT9jAsXCXnjYNoOD20P2shuETFbDEGXqIk3R
4p+BMt34ZnnBLw+jaDpLBDTefTEMkjvEQrUn/Xjd+CSqzZpN+kGAhwjpS9VxM03cet7M54xNhMgD
HouYlM+eU8A0DuC0j2HfXWQOy0esfx0aNMCBCAQDhnXw1HqP4ZpdYPINs+5Vo6KDJ9akm64PsBXV
+qkMA209EP6yM0sDxGH4WZuKizib77UJxY8xToAbmvR2qscRIbLc1S0kGTyg2cqLmheS7hBXCyZs
VVHes389xnX9ksxE/ESmXtwRCbvTSpMQCeAPIVaxRe6Fm6knA88PfY4NufeKOlyFbs+mkqdD3b0E
psR2UuRca21BM77I9UgTB6Er6xxhkOXaRny5acOuDT6ZRdt5l/9VRO8VkcHk958roovP2etf6yH1
mu/1kPkBVyd2CNyk9ASq3vheD1l4U23Q0wSLKF7nD4NsXKZIZXTPxIBKDfWDaMbyP7hMg+gwcLRa
eKuC32larL9mhnouYGv+vU6TBkr9l2UHI1zK46Z0ztmQR0ctKprwdhyzstm5ZpJtpYo/ntTTldyh
FQi1fG8LJAaOikvOQlQRxUSEspQqTTnNSYhUZqUFxloqGAAJvoNkRKJDhj5bHjQedZceTxBaDX3j
FhFzV0BAwey/OunAinOCRoWBc8ZMEEfwl+UxJf1He48BMtP+piMZyByICMpVWFCrYoMkQIKcHKGZ
1bg0o5tGBQzpKmqoNdnjl6QPdbNxCtrgFTgVeWL+eW78PZvGW/hGW430Ik3FGJVhdWzINRIq4Ii8
LrS40dIn+agwnfsoIQqJPUDMgMmqGZVET4wq9jzt1qkePsFR+dzHBCpNA9F/WUfIUquSUnAcoh9G
EyEELAOkgsdGiR8zYWK+yE8N7ABEkNFlQ46TIM+pAw7Z8UUDTyEvtZIIOsP6UKgQqKLqdg6pUFCY
8c0TExWgqlxnwAe8mggpy5sOM5lSvlCPSkKm4i7d9yp2qlEBVMFEtKWKpKpVOFUKjZzx1FNGq8gQ
plo6lpg30YQPLKrjFyINxXLCzrcqjWkLSPWQqyAs5JynssZcK1VIFrBtYNGxvbbEG8WCvnNVoBYz
bPYCDvJcz3jTVOgWaq1zo2K4ZhXINXjNna8iujSyuoCfXucUqsGAV9YmRjrtiPVyVF0yqqivqZwP
PtlfHqOrdToQB8ZW/MkmHwzI16dRn68blt/Mtp9kDfdFkCiGPQ7GksyAErbpqfCmXdYSPyZsFURG
Itmoosk0w2FMXkeblNSyKcbCy5h0Q5jzy0R/j61SKBRm4rbPAw3LBcNJxvaFsnV0SMLyFcBx5LyM
8XcQHnCAkNyIG2TA1uTxaPZAXxWcBivdpHAAaMuLM/WNzzhQsDkSiFB2BFNreInx6kL5Lus43k2D
fp65Ga4nP/W2mebDMWSCR16sebCs1FrCB+ERyWvmpNbOaRRZBKbr1drialsIp7Eg1hsTLhUrGfeo
Xqgpmyo5+P44M3xw5BpOS4eMDJSVPgwbCczF16Mz/B2W9qZxaRHfuqCcu8aoFa3aPD01bo183PjI
jHe6FYaWPZUGynOzgXFosVAwQkH2eccFKVwrA4kRLeitOqonBP8WE9sF7geuG5OMOq8k3sWQ/XCC
G0X2SgVDWJsuMxNoUYBeh/B6GDw5QhYzaZ9Fr20NUGaLgXTT0kWbbDv+QcPKcTCi3F9VSl4LsUR8
MhmuLADJyXUfDe7CJh4QK7cHzgb3wEarc0ho3ay/NIb5mBZFiEiY/1YK6W/LGeFzluXOtipASbZa
qjO4aKqFYarfb+gWi9kOj00Qb3MpT9QQ6VKS+5QG4jqWfGpdc8gOro7GZG2TAoB6FYC5SGfBvDPw
l2MMmsjye35DM5glZp8Q+KZNURbXsZPYgJBhW8EDO/pRH9Fx6dvEyZ70QWx7rb2dM+oWvCEI/QiM
KY3ssu0Fjjc8D0T3iW1Y1zu3b98iK4xXDhOvFXhUblh0NualPxZ3RZvmF0E8XJV8o+ywAHUWFULc
iNKa+fTHyS030q4BBfivY2WiLK+KQ5dJJpvGuPVc+6si4b+Fkcqm+LcKoW1f/26wyau+1QiAwAkV
113itkxutV8gFdiN2KMy+fgjPPxPYS0lhaJV6khvGbVQPnwbbAYfPN1z+RspFKDy/p5LCavnrzMT
B6cTIxsqEluHjPFLjTD0wajVlSvPk7Rabx0PYYpyzAM0E01JDAEnPHYzdPn1lA5D9mD0Bp5E5rFJ
t6/nRIXeunN20SJQmtfpaHYzhOq6rJSD23KdF2U0Z+dck7K47iLBEcd6Zze6RhS8BXphdLdT26Io
7RJYFKuQ/OBgldeVdIlM09TssHEjcwbFnUm65blClLLw+mg01oUZiXmNyQtLZui/LxkyY9vrGVxi
MUS2c58bkLcZMghytQ0OnNK1u12tDdNutKY+fZPK0R+9m/ujKEXiAv2c1lS5/7XQhwOgiADBOxxg
qqdhreUspkjq5Pkcs7vXCzpgeADO86BABbOiDXTv4AGniWxICPGbKzWsE6X/RqVDr1dExdojSGFL
KhNtwgDPgPAueYwjkFS+OlSjpCBmu8NfyUajfCZwL+OUVoCEQrEShKIm9EouYCiSAinR1CGKrmAo
zoKriAu1Yi/YisKQKx6DX5evmTc7W0uxGvBz2tu26pK1/k5yiFDa206fX2WK80D7iMAD8kPRNHLt
KxpE5FuvseJDOCLjslC29yKyYX5WTDMYcjzXiizhznm/5Onqb2Mh3jwZhjCAKJE8PFLtSio+Rd6R
VV6RR3GASZ+uTC1O8XVAtIgU2yIDcpEo2gU1M0e+ImAEioUhFRWjVf0/XFI4a4qZIXvQHeUMR6Pw
rcdckTUixdgQirYRSiY/GIEAGysWR6+oHIw8mmsEqGzxFbPDU/SOeTIaxNOK6cF2CGPXO+djqKAl
KvbHaHg9LRew4lCRQYwczhHz8WL3X2P1tbFi8fwvx2bV/t//K6PX/LX9m/6Kl34/O1kK0VjRhpjW
X9ftAUt4x/awLOAI+GEpZH/ALYCeEJ0XnY9qor6fneQ2sy/iWHUgtRKl4P5Of0Xj99NOCIaQrqu2
zyP1Etyn+vMfpGQp1A9flkF66ov1DB4jjLd28/GHL+bq64bpx2gztI5/8y4IkbBkODaiKOeXlX4T
0pY5s5OeuipN8lXl62W8wJroL0PLzNap1RKfTG1LRKZfgqKL02U+h8eB9uNGr+PrPAGj7sTJhdR1
eidDc2C198wdjERf6lG8l2ax7wc8WkOwY/x5oc/yup3My2aujqOwzqy6DnqaIa0d8FinehNsPHW8
kLo2kQ0cfCE+ELYQwTKLtCOREkv0G643gb/QxQRPOhuZEiGvHz344xNTMPcgtbnYhnL0Vp3WAgwI
TLbt/cxTI+tK5FWm/RBagbf1cuf/s3cmy3Eb2xb9lzfHDSDRD96kUH3DKvaiJgiKpND3Pb7+rZSv
bYqWpfAbe+J7IygJrKqszDzn7L2XTkuDzGEFPd8mUpPQWoVdVaaY1Cra+zAhSc4jHHcbuGRc7jSd
4DJuls6VNTUTVx1iOjGXOyFBMtBfnIdZVBa2CJFuagX/4EYrBoTEXqlx6FZeZ2bt5GNHxXLrVEI5
8e+XyybCWSfV1YWSbxxuW0uroyZhME+mq+1EoGSMZN8x93YuPK/RP5tTQCSMmIq+4BjVbwq7NsdL
qMkOWjC5B7e27D0K/OAJMZzx2Nsh48R0Qs3T5p2xc1A7AAQU5jBvHU5krK9D494XBT1Bi2Haioxf
YynKMQRTTPhvFQQTBCGzv3K7DsI17/mRyMrmuaHQHidCzabREQu3inYKUvgVA9hoEYCFuMFOsY/V
KV25hebeoAWAKhiTnOtMLvqRMkOjkRjLvtAYdEaPTmb2Rz66fmlV0bzCTSgoxLnXj+kY7S1oESub
kmHTtqnm5S7+4CbsBVlJVbOx9H47GDnC/1E01wGXfE6Y7AR550SGZr7O6ujaKMydE3Z0wa10W0Rg
FgJdvTTucNtqdn+PHNz5igeF3kCytIbR+lpE3dLMoI37lXanKt06sFo4DUWycpVsnTjc2Ecql8Yq
X5umfcuj+m2Kp4cqVmBv9nt3zNZsIGjv5o0xqqfJ6Ze6226ZJx9nLBZB3X9RzY4SXlmng8b5Q9hs
N70QOcC59eKrnbYcrFTnFCdNPjH7J9OKvqSzZaysJmn2VG/MIYb5KDKx0wNxsspuSfrTU8nHhyOQ
O71jr/zeWkMJ2DIyeSL7ahVkYDwqtVqALUdO0eQqFnCCErSJYsC2L7zGG5Os/eUYzQG1uk8MZ69G
p9CwCB70xXWb5s1pqNpDIEYWM5m6aTXCVPc5G51sOrh8idSCLCG3Xo4E/zqljgu6eIQFjv3bvu1E
cJ1X5RGxjtcL95h1/XXo0ikQ5Ur4JF8HwUiUU8KwKoSR3tXgvYJavUqU5HORaJ/LJNtHTYKH1tnT
mb3GG42bGQNMmp5MI/aqtJoOs21zF+OS4JDAWyX2tnNpy9dUpSFIsmke9k4xT7tqzvM9GdKv2YSp
VAlxN04B4zZz1BP63eXGb3A1zJNSrX++8/5ABsokEaUwunH6Zzr/+/3+Hk4agxVyla6KKhH0hN0J
v8GULDPSnY9tpg9LuydQl+ket6b5TSur5rqqEvXOAei2KMbxpqvjozr6y8S1H9WxJYvL+poncbAs
S8w1EEwAzkzquphZ06lPgJNvNt7AhZSmOZIq22m3pF5+IQm886K4eRBIU1eI/AFOqDhu0twbKq8Z
d1qZ0J3w840W1xvBHDBl0tNk9uuUZrd4vfZMyA5zk+6rjsyKsjg6jXA37TARcjhFWzGGptcA7LB8
0hJDI94E9CiXjdrcGFOneWVo7dXQ5XuNMADfl4b/ox7v46g3wM7R/hGTOBsRANrKshCjRsmpL+er
sIl3yQBMD1PKMmIE5EsuGEZU/M1MQNDerMygPKYB4bt2Ls5ROhxIBdxyrmH/KgmzLqZmXcT1OYnT
GxT9tCDyPl1ahNJ5esllr64vkd70y2ymYVgTAGBMBlrQMXp2SdiOehbTyAJ1aIAlSSXDhzdamTGx
0p7ibFpmOrwO19gO7EN6U7wWrn1UK7VHTaq8+hqxcqWoFhTi5OelmbZTSrmXtcfItj4JlUg4lQY8
8ahPUyY0L26mBGFdcNZnU1uSeiOz5WMHLFrcPRQkDRwYB9WnlJvs7udLFf3gx4uIhT8HfgH5FQ7h
ht8vVJoSA0K6jBzgLlrq8b4W/01m+luXBlemd0/gnyRvTqOPjDyHktORwp33Vx3dQvXsuAHjJisG
c3yOumgblTf1gP+9Tr3IwqAdr37+qihAf/FU+brfXbC6MmlLQ1eUkzrltwi2ZdJEfsup+InqblqE
OBa91jEfLV/fMZVPwF4TL5MCXfNUERVeXs+fCsU+Rq2hetjr1qk7aF+c0LCXmRrfW042LIOEeXJq
PFl+Mu61VLdALM55sepmO185pVIttRLzj51P064bbf1LkYPhpYmtr6IoeklZq6tKtcIlO/C0bInW
8CipbzsjnWn0Jfd0rsQuC3CQTu0rTaEth9JdU9drqxnAJ5vxVscATqOZG0o65PlmmjvVqwijXtaD
SQkVjTcizJFRR7Cz9MBaEI16YNF/rZqBiLwy2tUGoOHBuBtnnGhqsjdbMlFrGYgT+TqivxbOuNWZ
u2SOD3SGl/nki6WeqvjK/IRdVn3s1Yk/HGcnJxw3eT2sen9mBaurpA0y4IPlsogzh5yE2FnWqX8q
MZQTr7PVCmv2nGC8DS3CmMdSuetaUAiELaoeI68NiZCo2Lvi2QqqU61m1xXKJzR77aLR9r1JjGxv
6lub5uKy1LT7fAq3o0+KeV93V6XFGUmE2Y667s2p1I4YM8ynprEJSuNoD/+lvP7tEv/mIf5T4vXX
NS4v4u9W22BwxRBkM53iY34JrpR1dageYH3vIJwfHY4e70UMC5qUp/zzcPj5Wqdp86MvGPpgzUL1
jdDs+4cjfXLyhKyiU7kkMvAovHKNG147KI/2GiLg/Vnxjo/9KmaM8sx/0qvpqC720dq/0oHe/uK3
+b6w+e2d0NHkmHgwKKPMD2K3SR3ocWtxeBWqF/K3wBU81v1vpe/fvt3f71l/fcYHqc5cZ50ShoRs
FNVbUENLv/75O/rD12Az87JlH40W1/dvaDYyOgZVxeGtXCqX74PJnfO3HerfrqekAf59+X56fn37
UTaT/Ft/VO6QDNmQ0XsJInWZQr6bjKr/wV5D7U7Fhu7L4ke/K8Xs/9jU0kTIcdSAzHvf9bT+A98b
lSd/Qdcog//RZBSZ1HffN/ScDgJ+fP7wwnHROfKXeP9lV5idNyRxBGffzShnCaRvG9wgKRn1eps+
lmTWl2PrLmdS7G0ZZ59nAUd3t1XJuTdk4P3gmuyMA6YeOz2MOHsWsxvjZu/pjpKXL/frRSsj9FGH
PYDvI/wsct0V9NEXrStJiHO6q7YLvF7rnywS+TWS+U0Z0R8F4WfLBQ9M8fDAUa5uc25vQTb4nu2b
/ZJfu1h3pP4XEYEtgSaeiPHIl5VEAzQ6kIBBsYw1IKGv/dC8oRsllFsiBZyCFCOqrNsiCcmDyp9n
dXhQZNyeK4EEhUlFl8AoMCWsoCMUHFs0rMXGLr44EA1CyAaZqUIlGHiJncQeNKV2QSO1jFPyhuEi
xBKQENcmmXWRuMBPvai5jhQmSltvkGCFlNvFBmlnTwbc8ELCP8p6rYsWSUjA7hyaqF3U+A5Z24Wg
fUKPVAxOjZ7aR7z4tw1shyzTrpt8qNdxCi9Fgf8QwoEI2/FQFqHq2QPxyQasiEArYyo0ZjSWBEkU
nUnie9Q4S5BJ8z1wIVJRCrPDxm3HjEXBUSD8jdduMr7SHp72QR8SlJSrzMokyEIfHAUArn60KhgX
hlMyqvH960kCMEJc+usp4DR1U1QmgQRl5BKZUVhkMkkXd2Rzia0+T+hfN02A7iYtQ4rTwCbCHQYH
QXKIgiFkgOXwgXtUWNdtkB3ci19aN4QRInEemAqyVSoRHyOsjxTmh0XK6AlrOonwARZh3BDrWCJC
VFghka8RBSbxIUJUNxR+4dJmtL6MJWTE6WzzSpXgkVpMmRd080tXq6RONR3XcwkqiSWypJPwkigG
YzJPzonhq7t0RuutLgHG1a52hRIq9/SWpUxNNy6DPgKrEdCX0hTrlsTlz73Ep0TUUIvGsdNt24wY
5IPhVpG4FZ+qj2AsRG6ZT6RwkDNTlXiWCk6LrzLMrozU2CqZ+eTG4gvVzsaWcBcxNiclU8CCKA5C
QQgwc1h9gdc48eHbZEjljWtdM0dvjb0201Pjgm5SsY71lBGiBQcnfBwDvvMicQqaJ52KAGJcT4hB
L/aQPQ152UAgiBgpNMg38Sc8jNTbVEYM6kYUcs6A0qco2olg/4Lov27YDKm+okXErJh8LBjfgXUg
LKQi6hulJ6H5d3Phn2uLzK/RbZZdkX+N2upW6OEuF86hd7C0tUgL53AjKJxDJTypMbP9YqKpTaoz
PfnauFELqydvt+rX1agdHJ2uD8XgjrgGsaL39jS4wbYZjAMDgq9Wa6+bhLCNAqBV4WfTvlCmZyEv
eZUGgKca2wEJbG/tI/RPzhiMgL3ISWof86Dqi/UYlsZMxkVd3OpD1zxQyg50JgQx/pba9PVWjxzz
c5AU5r5tyjS4AJ0MnF1bKcZnP7CEf4pN5CWZm7TLzvUfNToTK3MULA0fOa3PetkaBZCBIWZ4OrDu
ViZyqgWr8Kkzuu2M+3FBm3AbWrOP4Y6h5gAJfYHe9tqZZ0jRHVK4bJ5R+GWX1Aq4ZuMqXWVlxPaU
pIJ5cfw1qO3r2kI8ogxQNxHdbwlQST2bMCZ6PPQT+ofKhHrAt3jj+AjZXdSplTpfXCM6dMlkeujB
nrWRfbzIYYAN2Y02aKnXtn4jw7Ii1pp/nhJVeBOAbFx+MYw0pkXJLpfki0bPn5Eek9wuoGLY4DGi
JP4iwGUU8fhlBJ+RVyApZ4AavgFZg35cwtw8uVPHY07fMEu2DoKEfCZdLNoovXMOJKejB9hhAe7A
kk1BjSTNBumhcWEjhgRLSyp5H3Y2wCKFABJKFkgtqSC55IPAV8oWBKkj88cKMAER0XtV87KBuYcA
MBLFJtO32j76ZXUpJIMEGxbdZpQYVSiujBBOiRlA56lrwk1AmCRWcSlAmijAJLxCtR5jp3+Jkdxt
hjE9DJKDQk128AlZMStHih3PkySmCNAppWSodHG5jlx1VzYOpCgoK6BYyLZXCo0AQO2Y4x7yUM/C
UiTVitaU7ZI0poFssXoXea+kuOhknsWS64KUxuIPjms8mHujhf3SRWQIRuBgyPxhf0bDk/TQs5To
lvzY56qzd4KpUEI6aQ9XJpFCZRXldy2RMzbsmUwL3mLX3ZowaQqFn/pQatoeXgXUmkyEm2/XqH/v
k7LW+tl9kkCfHwyC+Eu/XyeFFNrZjIKoRiSFkR+9F9oJDI+WSVyBwDn053US3qNQkd8ZDuLe3+R5
vw/R7f/ILCk8CTodDYPhyj8ZBKGa+3idxMXJlN9gkM5vwT/4/XXSYdYE40mdz3oWPlQ6952UVgV4
E9LhtTlbO5W10VhE5qTQpHAfSOdAqdMRAZO51l3sAJ4t2l0WxyuSRvxmadvw+lYR3dX7tHBxZwr1
OlDyeteyEQIYg1LwRaDpYKat6X14sFG4Eiefq7CmUjveNi1nXtbF3bWKXgcqg3U7JLJWB5kHyptJ
aK4vy3BOOAuKu2lSHogWude5Ei1UwZ6s1twvlAnqr7PXiGaCwfZSzzppKPmwCEA2l7G4sC08iL7B
+tDyzfJb2fWryZby868TSaMkBGtr30BvJGq6JWTTndtae65SLgtmr3dLjNuv1ZDNy1alhe2OzipQ
WxhORaitE8y0eAkVY9oNI6mUKJsOWmefdejYnRYe5s72MGTZKLNCeuSiP9R9+Riq7pNi2KRVpfp1
grmhNYl/ibAK1vF839bDuu+08krzB86K4qtQNVoN0Y0Lt4GZUXYsg2ynZdND0nQHpei/qjVXUlWZ
iLfU9Q5xFrIdRUnahU7IZNUoZBuFlgfXRyx9QYfCpIw/C7QCTJYr2lEtvG2Q4F4rI6GLmKFLhj5g
5STJ7OUjTF7MZi/hFOxzHTFe68fqAiimlzuCHUvfdl199lMc6Tq9JbyxdVWiYbC6bNOaZDwt4Gbt
9Lb2msY8tSPWfr0QwgNosTZU/0tClEuSjoAXOy5++fgcWAXMRs6iInVpxuMPGUJkVaGuPKvkpXp1
37K3JjSXkVOSTuCcGLv2K0cFvyi60IKkriNKzuvbsGG0I9oMeZQImC7ZkNHnupOJ8TMZSKnBMWQv
HW7rG3q17Tpl/V91DCJtxdgpVfPAgHarduJh6ElDDMJGXbaN0OhliPiIeITrHabVVWgS/+H3sCPz
EbsJyWL+ZtI09aocdXFN2hf306SHiFLS/wr2WQJKZazEM20NEyHeFJ1tXYDGxPg7OSTNtmSooptI
0ZfnX6amWIs++lQEBH+75BsFAM/RxU/p2TCIthqz33b3v+14fOhImCr6GpKA6UVYssiVyqL3JWep
40lKFVc7pxmK/VfTXP6yEfyDR7hU22iS2SNVhhffP2Iqg7GJI8s4J82XLrlM5V3uHv89o75JFmT3
+ednVFk0z389puTf+/2YQuulS103Yi5OK8z4744p9T/Ezei/HV8EHf15StlQhGmn/RECwLr485Si
1cGRxtzfMGzZKvkn9jipiXjXxf/W9ODIIxfAINlUrpDvl0dcK4mwZxGeMxXx4ykUhKyPmho6ULny
PLgU3JT3c1dZn63QAKbjKjmKX6h8w1M9282DGxrFretG5uyROj8A1srt9rHRO436gSbEygpj9KaR
8jAKNp8xmA0vFeTEitG6OFi3O2jhXU/iTjo9D8H8DM/d4Jt2YzUO8BtL3YiUAGMxUbdribUae8IO
cTrQXSaspEFNy0C28SC5PydVTTscqeeCYaXEj5FBPzF2g+HtSHDYKOGRYFE6d2cENaa9geS3zLox
evMmiyxtmehMx/zxaiYXden2nEt5dVvq4jO5zPqigP2zzvO4Az8543+J3Mxjls+EzDBvYss+9k7z
SWRkpVh5eiTT7dCFCeWiL+BXNjbRCHWAUngoHa+ck5u+Ku8rYy5Pet0XOKe4rNdSsF2TiAgLVGp8
U+TUrc5Af8yD9Jgje5rt8hMW2t5rNLVcdmr9Njf1hKJWcjyabps2MRbEbKtRZZW2HVPIuB5JdCOp
LWLNFRYddMx7gGd38ILeMbdRzv8z+rFb5G7xkIfJK9fpa8cgd7BMX7QkvLMKIL9tGxtHuME7tMjX
USl5DKYdevgB/EWACz9Aq8MZYtyElnWHV49Oi2m/WkV+mJE6lJPDqFkFd5vnNuDRvogB+Y6HPNK8
Vh0Qgxf5Jo0UJshGB69WwxxY5Q+x1TDZw4y0puJaWSUEd9MaPGXgFhCqztqo7P6qk80ce2qcFtX3
rk2s7AFJwrisk+567jnLiB++yomvW1QKUNt46u7rKf7i9wM9/LDuFlhR13btPFrC+WQD0RJcSNKM
FOVR/hpqf6NMhBL48zlNImp6sXb9C4u1uDL67pi6yWWerM+RRf8gJxduXRMdvjAoc/E2T4fWYtlp
ZnwsBPHqMuA8VJxHxaaTRvBm5Gnx6HtKLXMDkyuzzM5gmA/EkV76hl5GK4XygW2syc/9DBIBDLK4
z9oUQEth78veOk8R5FgE0wfFZezcV1we/eYORfkXSxlPtdW9CT+7w/6z06Cfxn2i7VTYrl6busB/
Cj4HFGyvqTbwFZuR7zljirA4t868eGvRDuEn7J2kTqjZWfjahVHLunKTL4rie07hqgs7RH+c6dlF
poNRmnHtzNr8MbRor3NsioWCZfagkOjmmZJy6OOL8YjifkYPCOVqSq+1xv+UgvX1kMWi72T06jrz
Mc3bU6cldGOghVnZM7dJuJo8dBDXMUyx1IewCCiwSdWNoRtbvSSkiHDVU8fdfpEbTr6ekhx3o4wI
0fBpmOHe7Vr9EGl1ft2QSNnsx16TooIczKvQZ0I1KlQesfPYZSQxB0WGzbZiwr6uUrXd0LJiipwX
+NRHQ1zGydgzS9CuQr5YHp+5SRAaNxOzJwSAXsv4OFd5cAPwIj3ERmxuWt6C1ZAq6VZDB4+tjCv0
IiAgQF30VhtuWwUME8ZLHj2R17RWYoLf/z2mfzum6eT/5Jh+y1+Llyj/QYyP4C/+fk5TTpLmANNa
cJVjaM6P/ignDTm4IGQM0Au3KDlL/12T/c38ThKEy/VR6IZ0W/1+UJP9w7BM/W8G8j84pE2Lf+Xd
Ic2wTTV1YTOdcKhoSSn8MGq3cSY5SJuVs6akXteya6rG/OYPKMRwNVqLTlfXqIEIbw+ydAO1pL5x
60y5FnavQHOygYDdBHQ4HZxEE/CWRqsfaWja04upsG9aGL8XQpogYtAzi0Y4M0n8A/+PcnkD5Idk
BWmgGNsIEFmpuOsad0VeJupLUGG4qMRYrgtpwhg67CC9NGa0BX9Wl2aNLhH1Z3AJGDiklWMm3G8/
5PY+jmug1wixAQExtMYB0onuC4HJfCOkOYSCBNmzLDbwjUzSQJLZ5ooNor9ypLkkq+NgBWqD4PEJ
t9MkTSh1whyZmMKFjvly5XBQ42zFtDIjzMGB21xiQL70g9r0icNvutW0x8hoIrwgyRXu3HBJRX8d
z22+wCZ3mlSuLg5b48CApiG533Io0Y0WjrsjDTa2tNq0hJXt82/2G2nEocWqrppv7pxawgIdadnp
S5R2fCzKmfDhaWHi7AFMr3stbNZKmn6SvhivZ7btTd4YyfWIN6iQJiFX2oX8b86hZJ6jNUcAtjVP
z4nHjaXHqJZuo/mb8WgcDWdJVx07UhyGM4L0vPRvTR676b/hbFjY+S6v+57NDKOQbynOKTLIYVq0
rn9KCBh18pNWdf611oVPaUgEbZhbz0GNOmYgVm1F9+Qp0dpg5bflV64ZmdcqwTH1QwKX4+mc0pEn
yzn7Gs7mEllCe55wZ3mZDQrCqJ0ErnGC9K23dnVf2XtoBZoHCu42jPHWiCzbGCH/cWtawqOJt9yY
ZOZJ1JUDv0ArOgzgdT8I49SbpbKfMPprMD/0i/ktk7umla025P/onmjIMCrjtD3WlctcioV2RsZt
revKrA6WwSauFAWDGMQSCKu6DRlZn2V12qpU2hM2tv0wwiRI+0BbmzAxrzA+rpXMfRVKA50quy66
7t5X9FNTYtpdCKW8mpRo2gkZXhIU81YxqfIBNqR3auz7hPS/tcp4iFIESIZ9nMLCXdlxuKnGaWXR
buY1n50pP5pZ9hmcyMHUomMGthP9u+mfcof5Q2aV+roLg9twGgOixNNdHffbpOJDckLuAgMoByW2
4YYmznPQDXwDreg89oUkaXIYK22fkTMHlNtKd25rrsDzPWc10nnUebiSvlp2xNaSrbnVr4mf9dSe
Yhh/8g0EDIIs4p1Nbpc7jN6gAa0KW3Qo9HPvnVQ9c2m7J5rZgYziFhbjU9fa+878FZzKjTl3O5s8
Wj3LVlYLd0sNx4OpJB7OkefQ0jdW3QMEQdQYm86lSfIbpxCvLnZ4kir0t9adbgwFKHJWlaepmglv
MrySzxgBFV5DVGcoxcB5qFjx/ewF8f7dINejlsS7ugsvczGeMyK9MV3u/LGAAlJAWuDxqaleZ/kI
FHjyBJrC3O+WisMFZFY2XBa3NqKdrCReoQF+YEotnoheLKfzUqXcKtj/ktBeTWVxzgFPrnKVFIUW
cycMv4tocaP1wXZUnWVWKEdml2uoGvSWBSSY0av4imAL8vwaMp+ren6bvtXpW+F3NwCeWZEqkQl0
G4b8k8n0qpnJ8TJ4Bl0dw4d9TPxqA4OQsoXG+3hjjO5dGs9i6aa40UBbbzKj9lzfZQX60NxtFXJQ
9nVC98AOt2a46zWhs7QcfJJBE+5oM23JP/2kai1XLOfWsspPTtjcBCSJdNlrPpVvlUr8LtaRha1H
a7Ib8ZVPyyQwViGZxoEeXuvEMha9fsNl86umtAtRqwt14KavqlvF7bdOo8C0SG9jmMitqd1T2ixs
EosXllmufIUIMLVb81W8alxnrenNHkQuD6xWQckbNubNsqh8uI6GeBm64hP/FNNsnx5kY5SQ3EJy
H8PBI6zuuckbemXKgUDI3azYSMJBjPZ1Qqwvh0RYknPABJuel2VvRNs/Zl3+ucXDO5X2DiECbhi8
tEVbb3PH3KljRmlmumgo+09DrT4WdXxTKBrDmZHbZsd7566CvN3arcnqtDfol66JXzqU6B57pbsF
yrR1Rv/sS1adke0JkDiFBZqlvCM3Op0u5EUy5xjIOneu49o96tr4VFroWWtah8J17v3aum7q5pw3
5g2OVHVBaNxtR6OoL5ku1jN1m5kegX8QYVapi4Gxey03qrn4NCXtQdTmpiwJfKeJGpPe0Azy0pMz
fcnv63Lag9E9KAIeN4R2/wvurvS2we3izaLd18yv52GgZZlw8MSvDDHv4zZjQIJ4c0GQwpOBNFwY
yTIucCZH2quV0ZZrq09JHe4IXj6z3+IqqhP63M3BnKXwK7UTsi20p9BsyrWrJ3dZ3ZLlNyabRNcu
ceLEVLO0NItBX2Ow2PqJ5Q1CyVYRGRI9vgabCBFPm4Qk6MEQzC/MYjexP+7HfHotFXTwMNFbwgnJ
uUMG5TeMrnt71XXBqg6V3GNizHSn8whYCZaYyre94rz2vbkmDW8T9PY6UscV7Ub2n4bhXTDO6xE2
KTkVh7o175BE4F9oYeQ11GcRgSLhoOxzQWC8yjjKoK2sFbtUaU8zLZKmLl8QtyLrbVzPT8dTb9Br
zVSOv3dX2stfPSF/7fKZ6MSExXhcKsU+yrPaoa7rLsqVs5oxn08WRXKjMOf6+UOkZvSdGu7bNRQx
Gt1UHfutLj50K5GWqBbqHuU8Ol9qZtzd0wjLRofAFP7iST+68L5/kvxN3unuCr+YtNnnSQKohkG5
ZJOVMu8K6yHuPkeF5f38hf3w3ePbhJuGYpC50fePE4zsHT8tgkuvfG67QxW85OnLzx/xo1fEbZnL
Mo/RjY/iIt/Cu+1OZXiB/BAPmw7mWwq1OAs2EWMR0f4iQv0Hrwi4HEULjWW6etaHikHKPMSkttEl
Apwc6bjeCIlLfvGaPuj15Hr47iEftLiNr7Sm5fOQmG5aWx8lZ/vn79qvXob8+bt10LczLRDc8xdk
LbC+vKS4A630i4fQgf24rL97GR8+/TKZkrLPmugyKjCxTJhNF/L42OCeCLaymrPoml888UcvC3kV
gQBEcZh41b5/WUnkZFEea9HFrq4rNfAAItn+13/+1mEWtuAasg6Iwv7+Gb6pK5bT1/Elb8JVZmHI
L7whvf/5Q3701pG/zbSEGFKbLLfvH1IMoW1HEXiMunzKrWNIpRizGbj+bdwdDPQug3/98yfKNfVh
D2KL+/OJHz4s9N34QbQJGRlTrL55JE3lF5uBDG959whpoDY1G4s1LFzD4vv6YfNpCgMn76hll/jI
cHXH4XkiMWNlXoc3pgcnZg33Yf3zV/X9I78V+N+9qg+PRCCYjZhT40tvIQCn9ygINRTF9udP+fF7
R6Nf5eSEkPnh07Jm8vZaVO4Xv3I9gWLIaX/x3sl3/+Ong7yT1eYydGKS9v16KBsRIaJU4otN6Ts5
gtvm5wiyexDHv3gtP3rH3j/pwwbH8LOoaWnGF818C51r07+t5l9sbz9+BPnLmouhFH/99y8mIu/M
MeYgueT5Gcj2YozEQnTWL466H32FWGx/POXDR5/UfdhOAU+JkpdUwehChpaxNgFAJu1FSTap+YvP
6C8vC1O/bTN4ZIiE4MH4MPEhGdeGJgy+sO03Vf15sFbVfPMPF9qHR9BLe79t5yCCdCus0ssw5wtN
If6TkK7/zyOkJJhkJJc+2/ePiMcxU1IqrUuTvijzjiHBLx7wl6XMayCCm+GsSeMN3fv3D2DrtAct
h3DIPS/r0PXGOxl2lrtv317IvwIfId59ostn+L1vnNTtdPWcvf3v/5ze6pe31x+MTvlbf7Rk6a4S
8EtoHkwOx7L50R8tWTi/BhNVct6IxSK17Y+WrI4/nJswSnFXo1v3TRf0e0sWwTjzdptxJ9GjjGL/
Uf4vKnOWwJ+73bfZqW1xYySrgzuj8fHSrSuCXkiVJGdNNdoaTGhUql7UZ4aCCDSxEZRYTPO8roor
UsWTZYerGpPDdtztVD/e5FIpLFtQrfNAV6dclFF/B6amPqgj0OpPvhQPWi3pSBMXVw9aOsrCBGkt
sRTbUph4rNAfFsl0HpW0574inn0Wskcsw6FEs5hbI14hVIwjakbgPfO6c8YHFN6vVmnflHrBP6DP
5TYYTTQwTrE1GvcaGMrXvqjFKoszekgaEspyaJN7H1UlGeYM59QJR+ionR2Ul0NG+rglxZiBlGWO
tbPtrZIUhmTY+pZ4MqSEcyiAy/ZS1lkUVb/iMhFvSz3DX1zbDkMoH5VmFX7qkqpd5maZbAIJvZ3l
FESX85Du22hkkFMSRCaUwNW34QmgBPzjcqIShmq5SuSUpZHzFtLNghtbzmAsOY0p5FymkROaSM5q
Ao2pzcT4ppJzHODn4CjkbMeqMCcB7mrW4bfRD/xgknUYB/lyLpTLCRHRUXj95NQIZQ0DpFjOkogW
1A9OWVP5Ze5EaCZz5yraG7ZiaTs3obO8FgPBm5OdaF+0SjeWXacs7CqOT2HfLUjjQfePTicka0nC
lNaqmV0bZA4N3jgVhJDVyRsmg8eqSY6Fivo8s4dNirjUI+X6VLvKqcHcDB0wWpplejOG+b4U9ZNQ
kmM8YFKvRHanB+GwakPnxUDDKQL7Ks9G5LJhaydI8qdIrHS918nPMsN4PhE+ky9UKACJBCzrJG/S
1Q53XeYzv5cY5tESziqbg5f5G6JZLQqKbTqkhZxvmhLlTGTcC51ngJ+YzzwSYJqlHo6rThKgs+k+
kEjoqc1N+mR9DAOR1j0pcFetREhDTkSfG2TEfcKXHiP+JAFdi5BWi00B5SWqNGWYbuI5M4DqSaKq
VZjVtoRXJ4TR0svBZ62q7cGKxt6jCytWUdooCzUTn61Rw3UxFbeDPdLEmKBv+HljLyrCW1wkzETP
EjcPcvQt84NXollTj2+X18YTBlcuNp2J2m3qaYaryM26ZspWhSYjq4vBXTssfVUzwISpdUuwndly
lVNoCCOthtGd7POmLe7+PT9+m+pxpfvJVA/rLfe5346U3ev//g9phjo0L/7S78fHt5Qlh7Jebs0M
7/jRu+MD4SgBIgIjmBzc/XF8gC/l5opfFjy7KS2ufwz0+AnKGyzFuspUCRLQP9KHyrDH/2PvPLbj
xrIl+kWodeGBaQLpmI7eTbAoB+9x4b7+bUitLkqtUr/qcQ1qUAMqmUnkNScidvy4eRjLxmG5Kh0M
hJ6+Mj7eXW3rssaOHCXRNQxmk9rNrywj076oQHJ43MOvoKP0G/WI4jfhEqBZcEj0CHfNxvmKSRq+
IpPopdgBBtKDN0L2iVgPFOooB950G1ypiCuA4YkwhtdGWsQ5mrYRUYOsSm3kTDubcxZ7WetSmk7g
2qYMs58swg2sai4D/WaSNqBVWtKjnY3vn+qKxKRRcgResavDxk0ALrbsAfWQNZeQaAKjBn0a7HXo
EE9YpY5F+KSTymcTQ932n0f/21PMU/e7R7/oPgOl+MXTz899f/rhsiNnc3PhJsbXwuARf/f0Q7rh
5PwvZjuP5ve0nfWHq2J85+rGffTPZ/9rJ43jcu9eLGdcVsy/4zqDafrzw4+vfunycjiIwVEwfrr0
5BX1K5PqWOdcn/sN7QWGXwr7xWbBL235RBTgIZ1vgqnfYsZfa7VzI7vwIcjm1EP3072KoXNdTCcs
LaHyUR/Sh5wWaV/Vm2Q7NcUHYMmgDwf6mPJkJ0JKbCpZIpE3cDJ7NjVcvq9K0Vcf1K6IiTxnwzox
4oC8WUKsBNBjEDZXxcCALtGjpxzVgqLwlxllI6ucxhto9Z6S9MaN9LfGUp/HftI81K0TOYDSm6IU
l0idHKRELjbzsn+ahPMak3Q4UJ4erNUBYKaokgcaIl/FZM97I0eeAqmFwjzv5lp77dv87NJxO1n2
ndts01msa5cIN7jrBxnFL06s7AZRPrWNEl7ZWuW7lI3nRU9dDeyIbDqPU3xevFT11Cwpw+hTiVsm
7AoiSNZwdhfbUBlre6PcoPmvoglZTLtbEtmof136UmtRveJX3LYtna4YsvzMQLPpTKBXaaKhSxjB
qjTblvOeW3jBoDODV45WXg67sqOsNojleigT1EPrSOBm3hikBymezHY1xdQNU3O/01q29UZsG2um
3bGX15Pj7kSC9iWCvthGBfpfjESeFbxehmxlhgujvfkg5ikGRcHAiUbcknn/aAXukmE7okxcKLc8
5/TOWwncMBJTxyGMoGfYvm3OZDoN1MRMmORHFkNSiELoWUMPDjGFE5HZVLLBzcxhLkILn2IX6Tkn
/9PZb6jOe6J83Ua2iHdYwBfPxM1gW61nq0wKax2eaFJ7Rp3cFmqe+BF/OaXSH0yiNDXVt2tmDM6x
VtR95pSnKqHnNh8fo7b9UNVUzajDFPizZZFNpAnEmxqSNWnS7fupox8WspGM2RhmbiNeHOU3QWvo
dO+OO4B55aYJyc3hRBvoPN3rWkwhto2oix27rKqL0UTYEsXWVDNkTfRR+AWIkZl+l8zFK9inQ6cO
p3LWoKB1xRU5t6MA9avlQG0yUe2d3vmQ0CzkRiFZTQ1sP8SCoY3vKqk8MI/fi6K8koTyKavbp1BG
sX29Fm32YKU1H+o8HA29OeiyPMkeqzyi3k2W99sxiI+GtMgzwcx2y726TD4mg40lugoNNN1m0g8V
CJChFdciMrKNnBs/CLvnwQar2xrzJm5oTpNQ4qfZvmpc7daMq0Ma9zsjnSTvMJf7pIdEIppTWNmo
tT1ODriteEPu2rJ9Cov6QEvfSUaGH4XTbSEyrIp86dMM5voQP4WpvTXDcpdbsbMnube1+mEhcnYn
vXBjj0owTuvhHk/RTa70uCFF7UWy2YOSfRYjSAJHZJnvavJ2iMyjhEK4AnNDg8OcP7PJ7mzZe9XU
+RSxKJ7EgaFn1uvsuNtB4czuDpss7l8KjPStKb7MbSjJzmrrGddcLJhhruxZKfJburQRTJ0h0zZO
abL2jbp+RTwUIJOVHdxQHrEk7sdOdtBw3QNF5Rejzw5BOA0r1LvTEBAljd3iQ0/1A7Dy7Ewv9LYu
3XMDnAbb3bjJa6GuY1N9jFU6DSBU6alCbCK5m5c/IS7nDxWM2LINCbcNBzVUnkbRX3RVPYuU1Jm1
tAJPw5umkDmJqxD1vqYusONv0ajmppBhvK2d/LXS9dPk5h3iWrNLy2SbFtXgt5b6iCR/Vbf9Koq4
A7fKTY9n19OMe9qp4W7MH5LMvps5ch8Ls672Igxuq7w4KUsAJqiztTGbr2plban3Whk67s+kg8k0
NKO2S0Hda1r4OZ3IWjMoF4fJno74s7WNSvPCRsT61q5N6LFZVOFcxidghWIHef25HeK7upiPkwzv
g6bdFcocAphxHosh3vKe76EsP3V11O9H4zpN0UpF72mJBYwwH7emUV6GLryPxdz6jtXvFBAh3ezs
m9ai1FDdNaHLR6NeFOonVxGKfC+1u3RpjBBcM32nWa6WKuhg3Tq1Gfv9mouOlq3lUMePZh53LP6W
fdAKzDO5k/WbqLZAOeIOip2eb+d8rLGBrayGt8Q1bNeM09YOC/caDy1NJ/RfrGclhubT05oOWX9c
9TL/0JPYNKwi2bDDYBLCr057z3JRCrnOd7sgIgg5ZiRHyt7tr5JspFdAmb4UTYvZiyxxOgFm0ZNG
XXFDc9Zmlj31Zaj5YrIalHzMm2rU2soqTyzYIHl4ZM5SXYpa7Z4T1caObM6NwjRjMG/aAWh05szc
IIfMIFrP+GUpaZgzf1aVI/6yK5A/15qTbowxWdva/Ajx/DasaVivNbxx1HloGdDeQq2fg8FMFoF5
3aiUMPfpuJUGNlW96z70CTTL1HkxAv3UD5idMKHCwNp0AT0UenuP02HyHTt6Y2V9FHqzw513Eeb4
OUj0A7FULpYRWnisU+6t6M/VbB7sOD9B8tM9y87JyyOyVzgEJFs0p24MGk1wSYTpZ2l527VUYzDH
2FP9fTTHeKc20MbSap+74EdKkVLNRAqKXugbd8jvOkJkfTlBMyqK+wKEjJcr6UHEw14I5USvlsdR
aKuN9b4LXGpT6Nez6wOZ9yfL0A8ZJQeNzk6rO+DSqo9BAsU1DW/GgJPChGFjDqJ1gzfdrLvPeeQe
lYLaNx66ERyedLOPQBvgq1EzR/HBbaNR5aTFnmsktJ7mBHhHcdemCup5oSge7D/S1uEaXtEm6LHd
L4EnSXVBl6i7XGrPzOAp81bHjQm3XGfmw9GiXoGIq1nd0+dMl4x0THjKzKzclCuNDDOoTMkjsNCt
7szXogckmHbq/TQwUEqqpxIYJH4kWExKH38KmrL3qGmVDEj082CKcxDqwMY7a828d20E9jZx470b
C3cThkAU0/lzNZnnrlJ5xwMmM0vjYQnLwQRoYA+cpSp1HUyWcynV8qow5BrmGeWhnbjJDOWYdeSh
aCHZtC1OvcCM8P3TSriLJuvFHLDDuaw0mBvG4zg6eJKG8mmk5ouCjRdNo72uiutngc8E0qrcpG2f
4UTgXTuBunOXpYeKjFVfutEubLLEY5x2qhjNpKEyXxStOdAFWfsaria/bvIvzLJAvE41Tmn+b0on
X+3ruzAeqy0c1v1gY2maOgn4btm1TeN5VPmiJQxm/GbEYFRPxllN4zPudc9IjGhvR3N7BM6+hKX0
Jwyf4dVARZHbZi8YEY3d8nWH+sespWA3R/zQX5wIX39l3KjDGB9dvaAWsdqHlbjXiHfPpSlwQslt
KEpf5OmxDsVW2gZYazP/wtAyYy3X1qHu3KddeRUTmk97i3MmWGtgHs+TWt+6I6DzorLPiRqCiE/o
WTEmugaSxzpzX4xRv8UYUB5MPSkIiVtEwDrjhU73vQtGjn7EuNgWPf+wUqubUo1JVhRGv0sy3O0t
JlhgEUYu9LtRTTSuEU2jGGu4jYaWeKluKWtNjYM58d7d+K6/DZnfM0C5ir2bHoDKwUPnWlCB2OPx
HoufLlBaLMSoaUV8SSo0ieLUzuPKNe5+/yI/zre/vwiwSfJpOJns5Rb3bkSRBqA+aaOPL2LaK8VJ
KBHhy/tu+DbB+ssQHDfR/3wvNkMaAz/BAl758WUCIVxuAYKDu/ZlKB8U/b94Y37x7zPnIftGBI6P
6+fPqqWGriytPLsUAw/azgnefv8x/erfRyniE+KDWizfP/7+oQ1WUzfr/OJw7zCvzX/F6/7y8/nJ
OvLtb/3u8/npbw3BUY0UltIL2Xwl91IyJrZvkE/5nCX+79/KL14Kgi0ULcegOpuCwx/fSubQ3EX9
X3oRyQ6jUidWFTgZw2Mbhq/x+9dafu0/1ZOvT9cPf5blEX/3dAk1znvbyrJLpXswMKAc8tViTZ36
ze9f6Fdv6v3f/6c3VdiJi7/n2wvpEBqgkkUb9pFlK67+y7P2i+8l/nwMUgt1D5TRova+e1O6WWgl
G29xafVNkL3149oMPv7+7fzqcXv3Ej8/bnNrclZiRH8pnLckeDGU/+FxXvLqDEFR8hHffnwLSZ2Z
naFoxSVhBdRhzkz/w+JFSlhYiwyn6cDNfnyFQik431tqeZntt8E+S3x6ovsva9ev/ug8xIxxjYU4
tcQ53v8hYORUxeTM+QXrJyZ0wlSqedPTY1f5ZNZ//xf5xWs5dPbgsll6Spk//fhaUUDxspuYBSXf
nEnWUAYjsKD1quSMdfv1pf5RizUe89+OPH8V3+Fnvo87VegNZGTQ6zU8018n+t/HnegAlsm6jxuV
igSsFn+OO8nogIEjngt6zAYKwRr1XSteCrpR/V3YYgjJFDr9nYknBU88A3+udotWDF7M4rGnKtzG
+PXTM9LOOFakKa0zcxouXajTFWZtJ6oNXxmpFp7p2ZOMXxT6TTPf6QK7JH+Sg8GRMQdn/PYiOzky
FtyMUfAsO/RauAEG7mmJWrhmtKeRWpkHM0Nx7fChPw0SKJI/i9CACZYC2q72rdFQWuf2pjXeyMRm
esDOEm5ss2H2MBZPAAvAqEKB6pakbNv23aruRb8CYpRzsFbaTSDFfVJop6aw4G0z5AomcUusHsiR
uhTGBRXYrfxQ1MGRA93jBIwSyDcp0arKt7Lak6zEbB0ilMVWEnupTUN2NnJsjh2MtTLgCAsw4Cm3
3WtVoI9m1N4osk1XFS0zK8xalT/kzlWD2VdbVMRY9s8doY8VPTGHPOa+BEfjui2LaTNYnAQt6UKJ
7OuOu8M8+mmHuRp0KF3TJh5hR2hrYM6TD5IYfJvTf1KM8QDHB6IE8R0vD9RP41iVnjTbDZjzXWxi
n8/V7Jg4WuXFdCJBPKe5tx6OrcSz08dIg3Op3ymkSmtbapsgDbh9AZMLKBHfYy3jjG6U50Qrb2lU
8DDjHGImItGIkt4vy5RN37TMPhg0EK6aqPc7nUBUlvpZZDBArcIrI8jXTeXAteHcsSLWlBAVLtON
M9kQzfTulCvkUCntBDQMeFsNwydJbhnzpAtLZ2ILVKzwGgUHGK3beWrdcevsEzhHzVNYksWZU/Mw
TepdF45rGr6pER1p8y2S27Doj7Gp+6kdy5VlzTHcpilbVUAYdk0aRJ4Y3WvkW3vt1PrnMlPbnUqC
HghJeTbVottGOilZPX3AnfaYJ6yQVX1RogoPv5tqgK2Qk5wsgeSWPw624y9IeSn0F8H03rfR9/sh
uxtTcw+TiqHFEvSIHBybU5tAJBNadKgqQhW6O1PZMQxPBRKgn2jd0xgMj6rR3hstSjsVIdsici9J
a3pKQs7I7EAvES+AIjd40k4ZS6UqVH3mr3on77j/YqhOVC5yU7gPWyPc1V19K635hZjKK4XmMXxj
StDcJK7preJ6bQj50McMstUUMnxpRVeKUl4J230rCJdT11lrnlaqd5hDmWAa9/SobhW9vB64o+Mz
0++Wc7LvRAJ+x6icw8g4MY9WPKqgN2OcEVqzuZSo01sezuOOWq+d7BsDHqnjeoVC8BV7RbnpuuIl
KUiLTwutPhtn5+CKCeCditNdzM0xttJNziVvE2jwOehOsFaWwsSxnS6qahBKYchaNvWZKDmlnEF0
BbQlW1vq+DmN3VsUE3tl6VWAq38E6DZPX4ae5Hffw+KmYtbwsCESdm8X2LgNgDfI5B1MXR4dTDqU
VylMuqt44gJamp5RRrs0HN+sqCvWnVUU69FyifPWJ1UxPqdEh8CTUJjSLBAzE5oZLM8vDXSzsIx3
01y+FF+xZ1G9txcQWgURTSxoNGdU4CNKYv6jZuxD+lZW84JSU7XkpMJWo/59y9jvQJ8DCYzgkGfJ
PoLFFkT1l26Bs4EWPE7Q2iyluq8WfJs+oRsI0hAg+1n3mgXzRgnK2l7AbwkEuGJBwdkDULgM+oi5
YOKGBRgX98OjuyDkZEllS79g5agIexkX0NwIcS5d0HMUmJSAbzTu7FP0pA2fhwVTR71evC4m4xBZ
+cs48YmqLvGSodNAxZePX6ul9Bb2joEdMoTnNqU26Q2dDEtb0hZpvM6N+NKrPAyku+8r5nxABlTd
N7OOlm2m4Js6t697gJMUTKmYFgaF1ob+TFTrlrdKsjO6zFR5kYdbQL+9QoMwEEYbPdOPHLGXZUp+
LHDGvTGYd1oVPEc2dPAmiz/nAwGXwBgIwuMH3LVp/6AXkLyxxM9kyJqeHNA/p6RvwjAHlL8+JZ0/
92+fOO3/hymCn/p+Tvpa140/jhwzR298Bz/IwhrtJQQGyDFzTHl3TqKeUrMs7Ap4FRZoFif27+ck
oK7C/GqBo3ZK/XvCsK7/eCnkmGSTBiVPzdUTdZrf4sejNLDySjeDeLrExbU+0ZCqBSgUY+c+jDOk
ZTEBX3dpiXXm7NaZjA9TlSmezX4Ht4geIpB+MAlomW1T96ILvkmjYn1wo/SUSfdxppdWH4ovZIE2
tUJhbYzHP6vyauW0lubxdG6Flh+JHhF6Cii8TWcmgqIm+8aVGeE0fbTwuW10pgmwCGskUxqsS818
TjP7MZzmD1REIYbSsjvU8oEW7euG9t2Y2dwWL+5dTi9vWY7hOaCptxz6ajXR3as6jJZHAE35WPKe
Zz+h0aN25F7S+ssUKCAZWWyKSHmS9AIT3VzhXD9zVd/MBq0cADWCNRYmAjK0CrMDbWqHmLUO80M1
1E/s+Zc2VS1apOrpblZyLFcBOKeq9eaafmIz0WMPOCyOE8qbqcgwX/KZagNrCGzMVyK7ssvY9etB
pQ55DJZuqsR3hkUPXroZJmOhX84rXWVpJw7JHNd8ZNmFdBWysTHMlGEHQfRrG/NooSY/qMPAOIz4
dU11Rd0J+sQSUh4o1mGyNHyFmeEHFA9z8oyPaCLrtJ22Iht389Bba0lWdEUZ4nYURu99rRYNCBQa
Np4WksafKwpHM0HnM9mR19nA1UUShqFsIB+6oniNiVoGJqHrrMSb1u4nKSm0AfhqJcUOopqyjtLK
5BDWn1wBlDBFgMRe+DQZ1lVeoQjn5vRWq2b9YOREJHPjVoUSMlQDVcPjdkySgCNiwJE1DnYEL+jA
qPUDVb7qylVIGE7KhOcmdx6VnuitVSubwdUI7PccttminWDYz66ZrkRZ0W0YFlBoaHgGFbON44hy
LRtXpxZsdElcTcGO3jTycUY9yUztS6nzmQUJ02EHu0KQPpB8fAlzmp8jluaxczjCzc9tU+T889EO
0dP2IOaui7G7yiVFN1oyP/dke1FC3ropXoNKPnCk8dW4erHiofMDHTkzFQgUWZPdS6N5iBhGrCpp
tPxq6YHw/bpaWrE7+6XGNblqpHVq8JrOkbEVOtBPstVbMZEJl/LVdMJbeHUbWy0u5M0uYyVcvmOz
xtmag39tFUc6Ec+aHm7S4lPKwU0yhV23Q7At42FB6xoc0szpOobs5Qh6M1xqVHjt9nmmnsHDf/qW
BzAoTZF2nmiBv2YhDZP9dG/NYA7GMqOstbHvwRwdyE6+zE50ytzxRtcooxQpbNHa/RTkYpe7Do+R
XVMokPMABkvcdlwHiUaJrVHxhVLveYyf7Q4PlRqU5y4ms+nqn9x5ataJMlyXATJd3qqGx7GItpug
oLDZirAsdGhgZjpm11Pq3qbAaxb5gFaMHtA+ZaMAhyz3wxh0b2lWXwdqw13GNgO/HQS3iql2101i
HiqnNa5n3dlCnYtwpC5d1FWhfgwmUKAhNdVzWR71OfygouzIpcc6Xxqtu1Q7R/h9V20VtSSUkd3A
1nwuK3teS8AuIHSqJcVeu6sK6PDKcunOTpYW7cBojjO12p2mXsVS3UdRd9ugDpL51fcWRdwjhdyU
XSONUdFddZFAsaO1m5yDn0S5RDU3vk0u/xmMLDv0X2/5l+aN0rRfbPn81Pctn9EIJzmNAwTce/Wr
V/7foxHnDzYBU2N3d5iUWYwrvzvB9D/welmMLUCi4NN635im/wHMzOI//tkFvan9ndEIbq+fRiM0
HOj8+y5zfo0cmfPTqK624O8NtggwM6uQcecspfgXRvBBGWtxKOwWBq4iJvlqJNFVHEwvTqjOXmUn
H/WeVhUAZYMNyglDybrWRQJ3qaatL4kTWE5WVD4CCKOBBrRLGy6eHwiS8PA0Fm29eTOo2PncSRFQ
AFyYS7EqtcQF8mnB+riJmL3U6y6jGcejyB7OcpPANuCe7a5c2svarz1maVzRaZYs9WYjVYcK5Rd8
p7lnmHGAW4E2tMBRua4ut1lFT9wNXAn00YkGxIgetQx5v6JXDX/HaaZnTdXnY0TvGkmgo1Fme5U+
thEJyTOtBtaHSllb2fbS11ojOlaGtRWVcp3wnb+tAufQLWVv1lL7FiJfHYu2pDRMGdL1ZNHh2VAy
6du1vIxde1HSEfwDPpvVhGTOGjGsIyZLLktTB/Yw1qfmS6p3d3Em7qgky01kta64Vup0PukGN8e6
2oSVFT2DePfsjvK5NshJOIOn0kuqmVv4kVqFtquVDpKu5LSg53eKZQ6bymF3sGugBU0DR79eaubg
2GAUH1fBbFu+phbRpQ8htMUVxDWd8Us3KuWtNSCkwwBj9tWsdFcW1PGoGLaUE2TvTW+puL9lZTy0
Lu1k7HurhnVtIzJ82Bz0PPrkGpIFdvViBpKiclVB110V4OK8dsI7+O6reP3/EOn4wi1BOwcwpYau
9ZMwRH/LIFKXXmpNRNVGzwbtjcYXxxtAU/0rMf3P+ofN+jfr323cf8Zq8OkXS+Dyg/9eAo0/FhmA
yJBgCLsYW/+9AhIX4lrDTYP1h2Tku0sP1CcWS5Y5ckS0T/y4ApIMI5PEY/8v7NPf4Dt9Tcm+nw1j
trVYgPGbWxbQ2J/D2pFWoOdLnaFqWdeVfVQyWBVUMBiizYWPcSK9uFLTU0xUgYr/a5DzRmVAZ6PN
E2sBwZJdZFkrcPNHZW+ahX6SqTL5g9YWB7b6/G7SoZXL0aiORdyVH7uwG660fEjvDHWAN1cmeDi7
0f4caLGxKw0n2NAatjQNwYN6jQQrN14J5hnNUDEzzLappg7+nBXU3PKd+6Lo8XyrtVYsgWuQaiom
NSO94fJVs2p/1BJtRcErnsqIwEmey+BeIyt+K2mwju5EYqZhy4RIref9XEUB/hf2JEjlql2EGi8o
GQRzcGMno39vGpxyeoNq0t80jepwECStxI1hhkBzhl2SrHMzrpMHJZnN5Q6R2jYBFKtucIjoTFLM
nkwqkxZ9b/TU+87IOj6ldiyN05XTVbCZl31A9I1rHvpli6Dcjt0iXzYOggHsIUq97CdTXOg66FkK
zSbMba5fzsbtrLa9vdOWbalkf+qSLLqqqKKaTyY2271TO3F/S2OSupkas5h1L+LBHE65m02F8m31
+WdFWBKrf30iunsriBqu3poPb78qpFl++N+rwlJIw7wBczzWduYafy4LjEnIGwosFuhJBk/Wnwcj
8w+VYw8Gesv9WTPSF83IAjmmkzP86rn/G8vCz8cihiDQepeVCZQ5aOefFCM9UpWhg6B1joBCtedx
fHn3sfxid8IB8dPBizfBgWupkSUlY5r2TwcviYMY+9ooz7j41ppWfZkq45wFya3ZdF+4mdBY3+By
M3S+FEqx12gqa+qEuwGeE0uxIGhh+y7sZqe0iEIy2hht9UnBTbyiIFKazei1XTqs5ii7qL1qpke9
72r9EoIfW6bcoC35ED0zqvOJmco0wz0V5n4k5PcFH9ZJB5xukXeJcTsYcfaJgtaAkQwWAaPVnFUj
QuU5yZhouKnxUUb0dnYqshh3/vqguuDrQtW52JWtrDOneXZxSK8RvCPkCmO4TsZBBfJWdhu1gUtL
aOAA9vs11bSjyYrguvmEb7yvd1lR7oqim/0mqO8DM9vqc0wnGrLUjHVaERxIVGP8kqfKhXExzDzM
fhsJig073Z2d5Bxdq71eu6+pUHZFJa+6SoATkNPNmFKFOY8FHvTGp8/7qrbtt0DtB+6wCd21ii/T
+K3jUEUezUCmcHZZmFwUQDiE0LhFai+AzsBa2ru8No9GgW+s0fpTRlTRgq7eVPWObKa9Kg33MaHW
gxKN7LoJIH63c3ToYvFS1VoH8Cy5MhZjT0Y0Tpv1FBnRuIuZ0XpRO0Zr6cT7KcP/aSbQxoKEE2cN
H6O00ldpuOtBNB5/C0rHiw5/aVhcQZPC7tc/GSDuMD2frdZ6abv5ksbwYXOEFhnkW9voT9HQ7Mtp
2Idj8oS5FeSOO+yooD3SonuHQQC3fpI9aUX7qAY2lX5yUzbWlTObG2VsXmluxyHeYWDU25eSN69N
WGqVaf7EOG7N9MNj1OPr6Xis6M9cyTpkL5kYf3ROi9gEKy207Fe+BXTkJC9hsMQb2y7ZKFLy2NRf
pjLZOUwcDL16lY14URSMizSPUJqa+BD7PWFmH+Y0uElzdebeHh7TZGEdhXSiGIp9H82uV1cyYhLG
JVvk+QdXJdWoULi+dmbbPDljW1zFqH++UpGwMK27xDWeZdVShKlh9c+q5duTDHdCxX0mKevQarr6
zJqbhqKat6OD4VYiFh76UKTEMvV27WZVD5MpDtZDi9jcadgYEdsEnUe+WweAe9yuX0f0ZlDDUVmU
Q+ZND2o/n5SA0uW4j89jE1vHusIk6fJRrPS0Cj0w0ViXSSX7RmSDdpWKWHczc5+iC9Lb0rG0jpS8
OFTWwqObtFWHwbbrxktlVO2+4OixooaZA7dWtztOVsk6jOWR+Bou/rSipHSm8WSc3fU8atR8GFm1
Lru6ZN+Ns4vNAQdim9LeAMeDhxhUH815emwC/c1O6x3r2ymJ1NxzKdlCM1SOQaoJRCkVsKJljsBu
y/yuNKWyDPaC7ElCmRt6ArZEvukoBYeMeblJDF+3VemXVXGwa5sFUeWXtoebQpKK487ArYYWqDrY
Zfoi8yVgnLsjrQvbyKSeJxNPKfxpXYqrwQ2ybTGmXFhxB7fx0nQVWAe1AyMXIJp9qAZF85hGQ540
6iG/T9WcGgJM5jrDVk+fUVhItqTrOY6b0+ykZ12rdtwkbtSasEmG3XSEWwacy/RZ8vYarG1kG6vZ
ZxOmbnSqXMs9ycAs81soeOtp6HKXNUdeDcIqXwujU1h/FeoiI+FPkmslL0e5ZAUmHqRiw+kmtftd
n0T9FmzZtGXpj56CmlfQZHZf5GjI3HjcK8ml6SpLwnOBkullHKb34D4jeM72vVmXFEDiCiUYrbU1
1TJBANeivreC6d4pzPl5Dgqyh7JsNyYU8JVNyKCbHGVbCdI/dHlTxsQPAn005XMTc48bnSmevSwe
InalqNsZPSOmdOBuBVrZn/LyxeqrPc77zWhPTOpKnIv2VVpPDyJK1n2M9g5W80Fm2r0ja5ca7LGn
xCVp/DLIJjJiCSQ2IV6Irum+Phr1s7QqvO0lCfI04kFH92Z8EOjP2uh2d4FmjhtHgthOpJjWv9+e
uZO8M4xgj+PyCGpLJcKHw5MryI9KCDxMJjBhUpy7JfI/UjlpDTdD025+/zIINL96ncUptTRN/uch
oLPnPA2j4pzTxIwM8sCqhPs/f2W55Mw8uYsdPdv1IF4zJ921WsR0QoMnXhxYqY5mQJ82xHAG7LdW
LdZ6BPbd7Sg9Cj5TMUJenq+AMdO9LsK33//qv/zNuX7ZmNVMPLCIUu8tXmYuy7hz0+I8MGsJJ1Cb
9JKW37oN/tJ86f6nucvm9ocNiGsjE2/7p78Dro5qylPZnys6Kei5NfZ6ycIggpp9A27cgi98Vqqs
vIFM5E/0Fg3OsOTOKhYqnR6vJIc9OMsbGenuXcGuJMuedA03JKNEFDcZu2PhD8+xEl+NASGTQeN7
Y+UQRCfXnG/JbL2lXeYxvY638wBDu1UpvKfsgypW/aPSaBtGT4ApdaIdE6Y+r6xJ40Xk/tiKONpE
Fo3Z2mc8A2+jbaLF0Dky2tmJxBQly/akUGA4JCdmFPlqHim8ClXKmSM3sRn9h4+BVPP7ejDZP9QQ
RCl5mNaqup2l0glbssUtlvApsdN1JbQL9ltKyOcxZL3PjoF4k8ZGmvaedfHFUchpQVXZTYnxksGM
XBdVQaEyqo+uCH82OHqMfM18Ej2lPyr5rulAv+bqeMUV8C2NtejjlJlbYdW5b2fRSSvnbKW39YYE
BiKTNt7mlpVReE/xlTWPh9puT79/5kDL/Px9AcDMF3IZ7FABTg3Dj08dU7mSgnazO9uq9qa7be7P
VZ+dLSpMVqynr2GLfoP046nW6DtxhuVQz058KtSWRFSaM2s6dQrC96ydzNJ51o0i2rS5WW9Q/+l1
MwHKhjFqR0/obi1KI99pbOr+oMZL3geNjkjKLem8wsOMdAcnYfRIy8CpJJ694gK7NAxtrHz+2JTW
m4thjjrJ0iZGoz1Y2sTZeQpRB1XfKtvaa9D3V81gPSeOtR8C7ROiPF6rgWXAzSgfHO8DNznafePV
/8femSzHjWxb9lee1Rwy9I1ZVQ0C0bfsKXICkygKfd/j62s5lUxRIT2yst4b1CAn166MSUYEAnA/
fs7eayNqMklYngCVtKN6bXTdIY6C6zIkPcFyVubYfCbERp9RN8oLs8QbE0D7qNu+c22jJrkxkuYy
DYa5YkpfJO4Jt3C0B0WTPitBV+IEm7RFAKy0m8gBkIYc3HC1kunnOkSYkesC1bib6zExwrbd7yzS
c3qlq9nmSZtPmhutL44O8oOa7oDWy08lR/fMImNu5H222Tzu4lMeDHsrM5d9jtnPwiMZZsT4OOFl
XEjxBrnoIq8h8iaEShYUNLnpcy7hYewk57Ivm++hJYnsOdnV2wh1TRu7Zh3MVR8RlYLNtdZWoUa6
k6346QKUh9uLCjVug72E6zdW+ntCAnH2hxe4oGZ+gNMglnYpuzhRRmtbAUpdgJunS01ChT5XFHbN
xOvxGGFPqlICH6Qywg8kraLe3k1gHi0nLGa94ouGKIvuRLpSpBBx0dsX9JzXoEl3fl/uYZlS9TaJ
hG2pJxgnsba63+9I1ikxbGFG1AqY4j2i76DoD1LNKSEx4YXCtmgt4e69MI2Fhaqmt4/psDTHZa6v
Pau7L2TSD1P5YBpk1w+evo+CHuOU53k7xIwWjl1Fgc9KCn3fTfOCumGdj8BAsDWvq44qxMrp+JJU
Rbp0pXywtX3wpJ4LpdXAGSOniNujyb7f1Qdwv+7QMSPtT3F1oK3+Q3Xyn24Vv2oXhKD9l5VB9B/f
7kdqEGScLlgZ8vxZsb51w1Xn7DP/c6+v31+EROfx19qAVxJ+CfwfJNbq5yC3vm5o98sdSSXK6C+K
EBNP6Kk3Ru3nmyBHqR8PHVI4Wts5BpIDbSdjZka5xGECI3nP3yVARPquy/YloV/2rNPaOynMT3jw
rxPKN049blOr14OPTyhr/GXahI9ZpN9LQVJc+S0xjQYzv1VqtDsDvxaFxWJUZIJEPG+VNZp176jO
dYEHj07KttWaTaipu8kfN0bhnPoYlCrbNrmGu1jNeJgkoVxzh0K5T4sKVou36Qtlhm+QeEAjJZSW
4MWk9x/KwakwFXlkftaa/8FV/bXf8uPre3tR6QS//fpiU8/CCgHT0R4eg+nraH9gDfjo759tHLKU
UCMTLY8e5LqIGHVrtx/cFu/fFebZ/ZeaaSzHqj8eDfUiJE6GyyQHo/v+i4ir8LNX/XqVoHFRkmJ2
MUVR9sbgMFg1ebp4q48OCsbmqelTapLbcLA++DZenBI/XwglEMAW0pgVtlqC+qhMf32hkdxa4oAK
9UgZ88SmNr9Jlt5cWnSz0L2fZbP7DTav/der0A3uhsUXfCNfeaLrtbZ5/wOros/284389lifWzqc
LnQKx2cZaZaAhlx5MVy3q/QSbc5CTAWXyorrvFRcZJ2zYOHMi26hH7On99+F8ad38fbuPBNGJXCM
bRXt4/HzsFEX1qxZOhfW7FTrs2C+ujfcPYj0lXMMlsM6uzbWN94cicyadW82rXKARnNaZ3NnLu3b
dbaqT6CwYRvP7/JZe5TdcWVsnE2+69fVbbq8fv+tn813X2+Zn6vVWQUtqXWYFODxj8YMUNSyfi6W
xY0yL13E4/Ngjq5xmW7z1cXTftFuwJcNbrRFTLuNjr7L5kOU7eyb5969/65EJNdvX+ubC3o+nAvD
vKsIYB2PwcaZBe60TlfeTYb3H0rZzJx5M+Abs2RlH8u1+kgjbfH+64vb9/yugtT+93N0ttqw1Eho
48fhKE/5wur73UQERdfK+QebklhV3nuds1XHDm2t6yaAINTUs65/kod1b34dtUUpgwIolu9/qj+v
cX9/qvOOspSy+Btl1B4Z9HDyuyr8y//aC5yd+bTBxuQOUeWIRF2N6AM61vz9V/jgi7HEg/hmgZPS
ws4snLDHvDjWpHkVKnIi+4Nv5aPrdLa41QpBXZ0VNcdBfCuQ8Zzhn5usRI3w86s4u8HafKrbrE7H
Y98NbghpB5A+NMv3L9YHd5d1tiqZni+NNOfYDQbT1Z1sESfNScOSTSAXmGv12DF4f/8l//j9GI6C
9RWrJRqVX78fsEaaV4RNe9TT71W0BNVBk2/1/mv88et58xpnD02CdEIqA304ou+if3+Zph90FT56
gbMlkTDrQYuAIR5lFm2a0bGWfHCZXvbH9x78s/s4CBn6eAn3MWeDWen6W9JCDhwR3G3lBgv/1M7S
3ftXTYQdvbvWiE/95tGB7a8pjRqwR32mMQyvwj34vPas/6Lsp003u0C1ww9mxoIA+5l9Kc2umoXY
1S8eygtty6k9mEULQHvrzA1WH729P27kb54I8/zOCatehlfSHJWT2MilGUNnfZMp7ixe6fP7bLZF
CbP7Ln/lcFbdjjuyUD9YvVBGvX+Fzr73TqrNoHRGaok5hpW5yL0xZ84umV85R3Ovrdr5A2aMWUbH
dlmtitXHpOmP3oIl9sU3X5KENE/P+qI5otCbDXM6m9E3Y4laZtc+D+tike6tlbSSvvsPmjus4hOK
vecP7pM/b70/l6az+yQmVlevM27NajkscTzNQlHVbWL3BkrKZgPDYzYdSSW/B2U1T5fFyrpoZ9W8
XQQblLyPifvB+xGF8W+Pys/H3Ti7JLbkMBvKWFLKhb4yVzjEhuW0nPbhTpk9AeZagprcFGuaevvB
tW4XNtUBHpVVvLwO56JI+Ks4+Hd0L4bY747u/2P2LBQovwsaxW++zu0ZziOVMTQm4y+iHb7PVzmP
qnwiu5upPqg6LAQOt9aroBG0HeFujNQJy9E1oQGq87YJ/tf/0MxPMO/otxsmxm2cov/M6vmy6f28
ncTJRTXYnGyUAzglGLL/+oTV7WgYXWxLEEnTyE3yTRd6/SxLTCgUAtUVWyMTc+BdSGEvZRucVyfA
Xj2Er16gvpDDgwnGfIbyLXJlAQRTBRqsFJCwEFoYMp+7HHpYIZeHESELgjl7XwjAGB1l8ui1Wx/y
WCoQZH4DEvalzQOdDHWci+W+dkVf2hEAM+ZSBjnY1b08WN8H3RyWUV9cp2p0aykpmsB4AucooQdO
nfKz3hbtPFSKObPufhn5BT65XFqSB9sipKtWfSzR0/Y0RnptuiWBrAdJ6+X4rcDqSHNv0B+LpJPG
y6int7kkT6gnZCsXSFQQyXKBYUGwUx28oWgRnWWhwFXtBGEVW6rllhStnaCvxgLDKnisToYXUxBa
Wzn61oBs9QS71RMUV605Jt2tWtM2xEDiuL3TMnkF+2oJ/qsCCDYSRFj6CeoCBA2Bqnm3M7263pZy
9hX6HTOhLAnoZNI/VIh0THX1sox9WruBRUrzGN/IjHFjq0UFOsTyHDvC50zP79LQypFzDvlezrC2
SZazyCy8KD5zqSQ/1kq9SoGxJY61HQzvM6o09PKxNpJtEi3bTJc3SitowHxuuEMDoDkTxomcoBXi
/dzbfhNuuxBRJQY30uUUTxLwvfSEB/0mEYCntLDg2sJ80l/oT40AQUEhBs9DTw8+lNLbh0kdL+Ua
V6Ns0mJkrGsjFpCvReKTJ0BTE4FpJeQpCTZWWZuXRmRtgC+u4o48b4Gq6mBWNXZ6GhwIjYNK8BdU
Kz3lm+9B+kVGC9EwumfGfGPlwaoHh4Un1Z85ALIGQFl0/fcV4KwKgFbYKGtFELXQShWuKShbE5PQ
oevhbil4Exnl7U3B5OIrj8gqj54jpsldxXuTRt8AXQzLywTqNUwW4gzjUa0IDhbUr6ZNDhMYMJrr
Beg2yGCahLCh7b9mUr1I65uqpT2Jyv/SBylW1CABi2kL0PFOdqKeVCPwh0DIsHbSCwZLFtbxYyo4
ZZJlLgtBLtNAmAWCZaYIqlkJ3szxlHwhp6jjzAnvUHciqPZeBYiW19I8B5Cm2sZXrZABQAp0mh+c
elBqZYXmwVDuEsFYk9VxWQrqWghgzQPDFqUZSelw2Ui/+NoJUpvWe3tHsNs0IG5Jwn8G1K0XdLe+
Sjc2uLdOhDwJ/tswaBoeHoPUoxc8HACb0TVfoHEBZnkSWk3/IQIplxkIbSsBmZPqNQS9hxr4XO90
C6iMq0izHxvgdGmLCZkW7hzDj9uAr6v84vMoeHZqin6j1829DerOVkp6f4J+V1Xa57CtNj3RTYng
4+W2fqkBzLMA56mCoDdO3cEQTL0BuJ6XVfaGhI81o5JVaMf3kRrvfbm+tchZgz0rXzWA+tQiOQSA
+2K5vY9T/boSRL8UtJ+eCttXdcCFfRoE+88fEUyialgnarkrwQNyk2xzwQsMAAfWHuMGQRJs2+5z
qpaEU0Il6oAN5kAHyWXfSZpczMpe2uhgCWXwhE1VblJwhT3pa84U75kDr5pkumwE19BKS1RL1W4o
uGXtlOCAOrn1QCHGhEjqpbFpQCTWerENQCYqWnDXgVA0QCnSPElmZOksOwOGUmd/jRENKYK+OIFh
9FQcqGAZM8FnrAE1Bnm8C1EfDQAcHeGQR/kyU/JSdiMgj3oXLjOgj5BHdyEQyJct+d/aRISVvFeb
PJGHiLPyT7UJv/l3baKgKWRWDFMC7O2LnvhNbYIOhkn7Xz/ht15rEzgUmkm7Xah/URZbnKxeixP7
k6wI24YGWcihcLH/idkC7eIvte6LwZKRAe8OHgbOjfNYCy3qshrkac/jYYs5Voh4okMcUUTCPzc0
+MriWiNGU+8e+ijdFfXAbI8qBaVKGLre6NNKzGyFPFlzIYm5UjoyRDPlUNrJzfTF8NSJAWzz3Jtl
Tcglo5ci8a61VjIPWYcDYuy0clkMXXmEOrWI/OCuAU7fs1suQ8fepo261SvlezyMd32Qbi09PpUJ
VEBFXTsh7msngmEdplrBvsXGTLw45bqsEwHvMLrWDfM5svTb3pQe40567juRDeiBaBh6rHdkqH9D
bUhsriwdG2TFcxD+lEFxj4XboS8WABamTa+gZYF90bUMwtsxvwvS/FI1fcI6mapbo966ZYuMyq+I
rz/44cYstCs2Stid3vMkYKTZhamArQTejzTGXE4I3NISyL3qPQWZcdMZXjCTo++jL/xjiXppk2EL
wJbpTOfXt7nUQJJpSZlrkyBZDg1Mj9LRynlljtcp9u55YzFVqm05crUkACybtRasNH1y0xBvTO1B
BJEas57rjb+OA3RaqcTpspUiISdQkWTjf4xGHUFWaKA8y8kyrUrBGMSW6sYQ2LaTVF3l9UBFB3tq
1Q6gG0E2zSutCcE+Rsa69Zwxvst8yfIPaj2l9/AU8MUkKfEMbtJN7qBBo+2GsGdrsb/XIOmGgP2w
qWA/pkSSHxqvqZ3HimDAb+AKLAmBQeKsGV2gE6pN5WTJzLbrCYCHr47ZstD7/JBOanhrU1BUhBGv
Eeo8xuGQugaQx1OvRypSuhYvz2jfOFm/0VLiDyuvhWanJOtKUW6l1lPmLT41xpVTtup6siJSnaXa
qkEe1RlWV4pNRAXdYYCKfMMdwKBat3IYH8lwkY15vbDbvrjxy+5rDeRoZ8Vqh300eC6UgBabPsqA
VJWjRD5GM5NB86WSwRDUadp11XrVWoXIel2aZUImrZXdxCq7aaGEgdvpxU1uN/OmMZnUtROj4tBY
DyYBIK0nAfSFn0uu8ggx1CE0XkNfm8L0WBgh5QU8JXs5hp65bUb5y+AVbhn0d1ikC9KC5XGWIwWZ
+7oDtHjQpY0kOf1jHPWcS6bSm4d2k63gnMRPMVabdQI+dIYKbRv3wbDupob6sHGEQmyC9kBGdXXZ
a4q3RwVrH+xuPNYI4DFkAtVCwMaTmXYc7WV7mDeINw+SPaGLVWKa6wiZFv/uRy9efzFHeW8/yjgr
V9mX6tsfo83Fb7/uSYr+SdHEqVdED76cb/8+Lwtskqzi5JOF7/5FAv+6Jxn8hEMxwzfLJEVQoVf1
uidpn9jgUMBwYuYQDg/+n+xJaKzP9iQWes7dJsM+diVVk8XP37SknMGQCody6CjFtjo3hC3DZl3f
mMKq0b24NpqyqYDujhJuDhytbDteX9bRLRR2TOsv3o9M2ECysvAHGbMu9hAovGhB2h+2EX8oJ0wk
0GwilYruh8FEI7QGOe+L8wSPS4UNpXnxpNhNA3zHaJAEZxIc/dnkT9FNmnOmZEWNVDeJZYKrFXL8
yIiJgmVRJDjocAquySNBuWu01l2mdBIIasztdwUWYqJcjGIaXT1jLXKluszgQxb2hRZ3xYOWltGD
ZBTGGgEXSCSlSzzWP8W3Z4kdhYephggAjmhKfdcOTc91chUKjpy6qRa1oBmt9GiZWXeVYnlcVIgw
dRjVWbduJc9gFyntR5XQlwl+gJNPnJ5aE92FHaLCiejbXkmKDZFjatJwnVTW9JSqElwPXx/rzB1l
DmXqsnWMiKdf11oI43anNSuD7Uiq5yGElQdozYqyiMEmLHRQOUG2wOGDKQeDTTcJ0kGvTZOzdnyb
/2wsKn9lUS5c1lUXPWpOVl86Vm0B/jEVthCcjTep0PNodYF7WuJqXmSS38kLvxaufN/L23ITqErr
nexQjR5iLJo3g4O3maN6G0ezPpPDZC1rWWPNJLvwok1JN2HYplao989mb/vPDsrLFQRuD8J2kIOU
dVA+1FI9smADWIztsP4caEpRnUpWS45MzezflevHykVv7f2Vax4++38qpPnFvxct85NsKzJdNBnN
IGSRn00+Fi3UAYKwaBDu8sIweV20tE+UuKL997P/97poqZ/oGGrEYciksP7TLt+fXMtYZ2A8YvXh
kbRkUWi/WbRCnvo6gHF9gKeZEl9AehU6sNY04m0acvPCE+kmq+pmcOxV+OfZOF23OWP5IKMPAXzt
SxxkrtYwmpHLx8hKFOUCyAa5w1EHAmBWd5lzSvNm2vpam4SbshnVGwh4krFRarmSZo4jNafU07xt
PJoykhiywZTr0IKLgNRmSuonJ/PN/lBpRWVc0h5cdWaWPEMHgEiVhS1tM91uo5Us7GjOizOtKcdm
oyO6pv6YgnhaeMJ2PekWXAWrDOSdKmzZVVlGYKaIx1gEA4nyVVk1CwTQ4c5oRn3veVPBmZsA8i9t
DWeLg4MHWcXS6ZDge20vAtX4AiLzEWL1U2TSzYBEmbo4B56LJn02nVyh8k5L/RthDtDz4XOXfr/J
JtlYNrHUkljom7NOlTmO9HGruLbTR9DiG/tekSg+nLj3nobQ7Na1lqmbQPLQ38Vquo6Vyjpifh5w
GRblSoej6VYUN6SVoQwz7AIwaMWR2+k8/AR1MTfx6tZ97c3tJt3ZrYNY16usA+3daRPrnGVClJn4
IYOVFZbprPJVrDOjHeHPRp1vZfG8sJ1nWw+kld1N60ShOYGZcDV6PbN3hssz34PaRd72Z53Y8Xnc
TwhyTWOVKw4c6wbnQlD1x1gb4FcEFJdOYgzzCpkyVIlCPcl+HF9LvaFdZaaZPUeyXm3TMszuYZBV
mKJLwtu76MeU79/zv8aE/P1Va4li9Cmsn/60cvHLryuXqn6ChARrAZqRyZyawunvFoD2SWExYzKP
rRjxHuf815XL+oQmDtug8/O3XlcuLMqETgm58f8DivL3BgBwDZ2ajehhiJfC8Px23TISWbYjr5pO
U3Nf2t5MnDPeXBg6X6OfZ2/Z1OIv/Jx/iDBbnb9BlomuOlRzLy2INysjRwSzGApNOdWDhEtvaSTh
rDbIWF+//zq/fpLfX4fN4+0nySWlKKvQUE6GyLOq9r317f0XOPdG/PZJziY5vlJmKrJ95aQO1qzT
by3ne84Zx5HwY3cLkBtu3T0U7boNLxoQl0r4TCno+xdqftlk1z698KbcmYa/sDG9+TrIzes+DeaD
k35wKcRu+O4158Z6ey20UPLIgBfXQltQJBKReN92oYtT4dQT/eARqBiO3y2obSX/1zbDD2aookP1
2xsgOt0wZb5+CvmzGWoGk6PpZGs8seKgJVacKtnH0H+xFxYEfbhORI9iE9mgO4d6ZrT9lZL0JnVa
TuKYLE1uBQ9qphYI/ZeNLzxUTVutkvSzmmrb3pPpSalSpNwOWhqttNjB0OfZ2EyiaFFhSyqYw5BR
sVSakeHEuAqmU2eGi9RnaIsxHlbjqoJNmaoXsNiBmH6uIXf59U3t2wetSaAKmvMOKIPak56DZN7C
WDBGxTw2bmBUlnNTo9WEhzwcFbcl/8SS04VQUpefayyeI8HhZZ/h8NIvyXWMhnTVAYK+TQ3gmBq6
9ty5aXRzTkQluzveCCP0dRDepT2X7VRf5HHyAHJjlqbgKRwsNfPY1z+QnLzInX8+lqLz98uDr589
Ln0IiaIZ6ukkr7S1t5n2zb22sjfVCQ39vlmzjy9AQ7pYcZGIbElznA8P0iZeNit5ZR7CZfSBlUI8
PD/fz++PLwPet7esniStlYpbNo83WFJxtFaIRZal/MFy9Kc78+1ydLbg2WE6JQHDlZNEbOTN8K30
XTgFujrnFPX+enFmqP7xkd4+BOcHWT5/pTmhegoY7l6QetMOLgmkfc1hyPVPsAref8E/rYCQfTg9
k3ZLMXz2laL4HSwr0dRTH6Grmb520sX7LyD+wPl39PYFzq4dTVnOkL6qnupu3uJr6SWXaecHn+Kj
FzlbZZ3BMSeywtWT0+2mctuYN6r5+P7n+NOW9PZznC2PI3s1oBlDPQk7zJAAEjSvnOjoIIJ9eaH/
7uroEOK+qfPvzf8Uf/kpL8Yq9IPmf//6z/rHv/3nXMQn//KPxUuU8mX7XI1XzzX+llfQgPgv/29/
+Bco8mYsCGT+8i0NM+QDTRU+NSrVzMsr/EzWFGqv98ujfRvW/3H6GtbFnwokfv21QALIjXQDaKQD
FYeZBrf13wWS8kkD0qLRbZE1NlAWhdcCyfhEL4qSiR/YHAuFtOO1QNI/kU3Ir8ki0vzlQPh6OS5+
3M1cyf/UxvHrQ8U6aZNLyP/oELMUBqBnD3Gl0gGlH+afCC+Z1eou1D8yiugvUvw3zxVWEVtj2AMa
iBG2/VIHvl37UiWXnSJB/Uu62IYzkbMcCHepllY6HAZtMPu5lY31amIzXeDnRQehNLZxrRIhmHMa
ccyDVVkOxmrfKw9tJdmlm7aaWR5MU5IHPF4kD85lYpIneHnyIi96GQNxkAKOBky9GmiGrSoSlxY9
Kv9VFejlAiYDG6vJlDXrzIsI9MqKOFF53uZMOULJJ0TXr3LczllKQsR1Vk3B95Te1lL7kW9i18AT
4ZiI3BMn4V8LpdDRkAR6KmvXzUtQSlEO5WUz8C7CEoEVHnaMXsFnrVB2wRAgoE+IBYqdeKN15Qql
yr5vTWVmNdKxDbo7I9ZuSqe+rkitgkR9ZxppRilT5jPAAvuy0he+Xu5JBwOZ5ceEyWFu9wdz12O1
JC8Vm4ufw1qkPShTEk2YuZl2PxRRRHJaYhE6mJcnrO/RmgTjfTugAzTjcRcUmoWvBReznSjPQZIn
mDydxYheY9aw1lPXAbVuhsFYEcE67cqx2HWetBrSeN0AEl+liVHNCdp2cTMsyj48YPiiSNNIG/SD
YjVN1carwqsAsvgqyoxs7uNFqybqSb9WNlk9VIsqwL9eNbtAG3pULLL5NHZxTUIgxi+mkcuh4FYd
lHCh052k35XNU0Kbh6I89JhaZkpEmGPMYRbjPZxvPzKuDX3MQUvrxMpleKgzz1HnqadzzhybQ2l2
EuM0MuyYwq3yRH7WzfYbADAbnq+Z7jQnRekTxEZ4WWR2yqBfDw3SsZhBW4q0dehDrJhNPcVSsJlM
Bm2KddtwCE4Cz5zZMBG92HZbDVFoal92GdhB5jawlxeYktzU7OM1OXYru2/Uealx4Y3MWtdyd68I
bGOBEdVynEd6vodcJmMsrIYtp5qLiT/aKUgUgDVOugJsXvqi1sqzJA0bJmN7zZPWjnU3eI+5PW0J
07KXRuQvKsu4LeHHBt3wtaPP0TZ2g3YmBgMyXvhepLiaGuMHiJ0H8JEPGkoyMEjK3tEzH4PfiWBc
IC2BG0ytBuWwXFqBdIOH+lbHJTX4FAFGQPZuh6qJCACaix1hi5Q8EIyguXXKXSEFN7ad3koFHs6s
X1p+8V21hm3pSNthkMkuj8wtHZdVYibtzLaI0s4VBDat3lzpfQRZfBAmrEdGrJh9NQ5bBIUGS1Ur
CPTWh3iNkVZ9yHvb+lzbeVgRKz56t6ngNgyeBUpgSJSFDu0eaGkTzMsfpIfGJx6cBMVSxZnbCyJE
VxjhsdUnZGPJCzKiLQQ+wn9BSZSCKmELvsQkSBMByAmpVs1FB4TCCwoItYJL0ehOzc2MzbcT1Aq8
/j6jPeOqkWUswCVsC7+DcqGAuyC+7DoV/IuozwtIFTAxYuAYJowMvvl52UrT3BL8DJu8xIMnmBrD
RNZAbOZfdR/UnVmOkDdAcPS6cSMLJkcdjWTLg+mIBK9jFOCOJv/aAvKIAHrYEWhhD8SHyK3XQH7g
/KalH0FBaL5bVX9KDE4OPh7eGRjUBzVql2CfHvOR08ULT0ShBeT1EWe+OrNnEaqlGvzIOIYuwYSL
qFS/pWYzrApAJVHWPXSaR/wf/tApbB/rRl8WoE1IgV6qoE4UkCdGm90bgoGCN+B6SMZ9BhylKZl5
S3107wfjJgSf0g3DoQOn4guuipyYVw2gFaanDwPglTzSXRsQSw+QRemJx7JI2+10h8UCaAvfxiID
4jIJmosD1oXjicGEBNJLA/IF7x8NPkGBiSCTgNfjCgpCjJ9ZN6B5t40G0rwO5Qd2gl0pqDIS0GaC
GJt1Hvn3hiDPoMVZG6BoWG7mUjsQmcmnTwNrT1YriQH+VmmMB6fowHflbmHHJ1QQaxQ9RE9AvUnV
+ItkS3OjD9ctIaKzsvW+yIBydKWch4KcQ0tlq4PSqQVTJ9LrbQRkpzLMRw/9TEc0gd501x7Rr6g1
pyVShhygSHAhA+zxZMg9IyIaWY84WwL1cYD7lEB+MLFM8xjsTyf4P7YgAYFpIEdAJb4zfDS9HLI8
zCBV0IOyVFYA7Oj9BcJTnJOCMhSDG8oAxC8l2T7JgkTUZ2W5qwWdqBGcIsM0n0JBLioFw6gvTO4X
wTUaZQYsmmAdDYJ6pL4AkPpRPeC5876/qc/+KnvedmnOqm5KkB9YA6oQdCXKOXROiQ0lTTNPOkYR
OZB3sfNVN1b/tZcQldabRtDIXWzGjK6PskhrsE5tcRqiD04oZ5X9Xx/DRHRrkChtnFOyVLUd094J
/ZMML8G26GqRm3cDB+b9jyKE+b8WbA5+W3BZIq9ITEp//Sh+Ho2aFXfYJpDUlVjCa7IjpfK21S/6
jhjLmvhM44dh9L/7LLF6zo8ok+pfzw7/Xx8luLrvHyUOX+AM/+EMwi++HiLosjIf0pGsisr/BV37
9yGCUY+qMEy2HMDRvwy1rU8MrlXIKqJRBdyWP/h6iLBEa5bGFffRPw/8+e0QYXG4QW4OMIRpFHHi
v94vUA/aMjXH/iTnF5WvL+Bj/LM7kt4khxCT44oQlDmGfnakNXsr1loLVFWtRyzsd5J8cohD1deK
xy2J0Hjx5kv4w3oBvu7XZ+C3VxTPyJvHWUWkG7JKtWQO4ti2RwF2H+tcTRGX5DVsmtzedo1R4Lc3
vFltLs1oLBelB9Rk0aQNe6CfmY8DTeONqSG6HEtCupU612aaHeyNPLnLbDV2i0r+1knxd2eQPhOS
fJGTqYQuCa1S5EMmyiCAAG4LkKSwgs5S4FpkPZurekzCpYGTGCZtmK+8cQCQMYTk+VYUZkyPCNtU
Q8YlJJK04ZXddTscyPnMCru9VHp8SxERuZ4t5J7NXB9hmgDc8YiGpyrQ1nmuXHQBGwWcjExGTB5H
/i53YFVp0m0lsSt32WM3iSCPYN1ZU71QCNYIG32lF/Y2CI1hFph5v+QwV6+8YDxAVpiurQbVAUID
xuzXeRmYa5NWaUSy77okLr25nF56p21aDfkpoSXYcJw8ZumETACgGgG0WolU1N6bzPlIe96j/d4M
MTM/xwMxEx/HybxHU2USvyuQxZq2rNTwSTfkb4mUG4ve0A9DoW89YnK6uNg3Xr8gtH5DRtCFPJVu
5rHPDoDwxmHf2lU+b6ZUdn2j39WdfF+2KgcO9P1pNt0aCW1NLx3jY9hmF1ncrIjnPcZTvJXz2JoN
4MQ4glTs4YNN0k6HGEgnK62OrFsmm6i/JdlfqmlB7EHbN6vEU+tLm8iCfUI4zLK21V2SfnOk/qQH
9lXdVhBemL6SBY0Bm9hcLwkv2ky67rsM2g5fC1kxCzt0kOQ236yAqZ5iRpcq0b5Om7aYnxUiuUVD
drxs2pzlnBGC2eurvuqWMqO4hi05VeR5nufXU6ZfpF5JPtSARLxJ4u5qGIMrWKybisgFu7A/63Hm
DqRo3QDEoPUXVt8zbBCgV1fkTTBLpdlMOCVHpO5Z7v1dRmB2qSvEs1oOIeuR6WpayEG/Bx/vXwRh
d9CNaF0a6WqQjUUCgqMdvF1d59Q2KICnBk61dGSHn6tIk1koLkeMATgf5JrywVuiFbzTq5pgY/Ii
yxjPRGYk4zomHGxTJSjpQmyn2iht43q6QWKBKjNpjmGVX0edPI8idrQWCaHb2uoXp42+RJZ9yMsE
Pl5E0CtS7hEIUY/qzuvs9csy8++mp1O5vLPp5cmX7A87nvitv3c8BdkDeeks+zLQThFp+GbHY5KH
91WHE8rWw49e22Y2sgdHEboq2mqYZt/seEiLNZQLjBUhflhQUP+RjMsW6//PGkkMGCzBu2a/VQ2i
ac8ni7qdRpXequPJbvzqworG9Aq3kPU5T3R1O/Zx/DAq5DbZzIkO/UilizAomCtGN91ZTt9cB3Ke
0A5Rwh0aAG9hSU21yMIy4FwpH5MkcA6dEB0aQn7ISJzf7ygM5gwwBSepGNaS7WwHFctS3QCHA0sV
P4Wo7+mq9B6hbxwgKuTMj2kQ+FtW2wlpaxPNVSGPrG27oJ8y3jlq6QaJ9mX0UmtL98leNrnU7zIh
tKzyHoKMEF8OiXxi+4WeEMax65hlPGOJR44qqEGO1tDKiiY0vHYUPRej0uvMA6n2p8n/bkXFQzD4
HinaHQ6PYhvlHFJJf4s36uT0nMos9cJX/M9yPBKuoFVLvcguDcT9i1BupFVj+tN28lttSy6JtUi0
ZKfAntqw1ThzVAL6Kk4yfdGRTQOiq7NnoeGDFk1Jk/Py7nKqyJn7P+ydx3LkSLZEvwhtEAG1TaTO
JDOpimRtYJTQCIiA/Pp3UPOmp7tHmM1+Vt1WVSyyyExEXL/ux6u8zcl12fNKs/ESZB4Js8i/TS0k
/n7iu6N1WnyfQMhf4ydmkQtvdT25Q3Wo4/bYmelPMNUYW8HBLwdiugE0doyjelZL1V680QajWeda
pm9Dx9inQmND1kQEPPpdoTL6/+aueqPFNL0ZlfjSMqkvkxCzmU3r2UCqi8P1wbHcu8Il3JCN487s
8x9mivH1TGUdVHcT92xtXKVJ2XrUUmRiJYdKQ9k06cdxa6hsFZ/HcTK8eL2IbtrWpmSuLE6tZXzZ
tuxgmA0PfYxVrDX7bGk1Eazf9Isb+fuykLvess/p6N+gnO5ig5NuziMjcELnOoXpdo6SSzEnauWo
YuuLpVPMnm7sqVpXmfZEmwLt86MgUIYfbe7Cn4XZvFsDU6sfex9U6OzoLXmqfdppcOqyoqxa+Ewl
KY7bOrMpzGMK6T6Et4ztlo2YE8rx7A8lOopbJNnZcOqGFrEpl8fKDy3M8c14jmhZP/zvYfzLoSZY
cPyHh/EvhHSA1+efR5DlI//4QMauSEPG0sX966n7hwcyj1bkfQQLgs4uH/X3B7KLO4RmK2hR9jKA
LHuVv48gzm/sEG2TEln8ZJCZ/itfLaurvz6Q4dPjkaOqg9F1+VL+fGH3Qw2CGQ+2SzkmEmK808AH
xv2f0/SZNJa3YeVg8PrHkJ9nLmqkrQ61bXz3kt5BWRTDkXp7C/Q5BEqld/tIRhuAXjB1Gy7tsgSC
1kX5JnXT9yFsiG9iLeMajJk+V33JS9X2QIxM/hXC85PdkPGrB2uiG2M+A9h4iiIlAz15DlPrsWA5
dXGXNKNcco3dknDUUbSPBaHHUESwDn3/zqMGcDV25hdx024bmdrwWNb+nhHxlFbjtNXHcqO1431t
kG+RVX5gn3Dbl5TFi3pn6y21U/Z4LtzmgeIi7t2TvGltd15FytpltJBTz9N+TCQomGiifuPOUxNY
SbijO+sB6/w2HgX1E6JZtU2THPrc/WkYscu9cAB0URPtm0mLj9Bbu7HYxzIx1iP0t3XeLKGS+T6M
jGlvawbfmi7pT3lCArOwo1u/So6+R1MOnfKbWWmfaZr7q6RGQItkshvmIQnqEOyu1mcgaWMtwbVj
bbsc83BUQkBUS15lUR6VdZ/StyTbT9OT3y5/XTfxLUtqmqtio32LSZiSDiEhKlxFwNEyQb+lxoqD
a4W5GSdDLpLAmdq9J/17tk/yWhfGTT2m40YH9AhLWLZrZmhzBzj/UUCQDLLeX3ua/UTfsn+s+3RP
p2uydurwVl9u1V6YbcMkP7VSXYeQESLXd/lQbiV2XQ7/5NkXrYCWS8VK2GKO8fN6Oye47OrpxZTF
VpT9T8F14VBY/X3fQk405uGLzzxuRiv/6t3auBDrwYBhTFC96U4Ls/jGx/d87q3m3WhCYEmNYR6S
ZfqMtcLd0Mvq25upbOuNPoOkZVpt0r66jXrNPVbLLDv+GmvdXyOuVWEgYZP3yUV/OPa2RU2Xu224
byze4cm2iPmEzasviDCCl2YYrfgUAA+rLts3AyCUzuZb7EXhTivi+cmqpLES5jQEVuU+eLVzUsb0
lcd1tkaUu8/DODo5c7+ZC8qv4mFt+ClcFYc9CFTJz3Su/IOS7ieb/4jBmTCuTYEi0dL2DmAy3+Lm
JmQkXCNZV0fp0mELtXBVZ2zHaCjgFe6R1h4nPmLsaWoYoglkYPidV+EV8G+3FoXSL33cycDpMEmE
c36quSJtZqib+6iDVQ2qmrbU45CaeL+BkKfVvLTBKnWOhQa2HR/Sl66H2aPURQXO20MiN/IYGfR/
p9Ov08nm+v7vT6fHJgGRMP3z0bR82O9Hk/kbJj/dgIWAC49ukT/MCtZvziL6LhboxfH2/+eSYPNO
SseFpksKcYka/uNc8n/j1/H0eQa2ax0D438zKJBS+Ou5hEHMZ49v+vyHL2URmv4gJGkEEZy6botr
yYpY3LRmxz52WrqtUXamwfTZSXG3X+Vu9VH3tB9IOlpHrXygZxhWpfs+9XiPqy7aN2GxraukZGHB
lasT7q2uKHLW0o5exmoUXHl94m3RxD6MbdWKrPatpoVZ0PexYu0jL+2kPrXlmmj7w6eoNLmJuX91
PtdB6SWnUSyEWT+90ar62ujSXsvYmqlNYweleG8QBmw+Nclesuma9z5RW2jK1BWa3rs2Gtt4UOyv
x2jvuuq2nDPWsHCkV3Y9vA6e9pSrKQ/SzHiwbPUSYYXf+Z7m7QxSopcomeRGGL4C2Js1G0CPb647
yx2Ne/3KYwRK8BlJUbOInc0HdKF6RV3V3Wjqx0K3v4QqdlYzvLUiOfGwySC4a8GIjAL/nT/t7wu9
eem4NcsRMaLMohfZOi9+yjVVrnVhfbS+/9GY7aWZk2dbjh8Z8x0bCX1ec+O4kvykfdAe9kWcaKtU
4a2aNWo1pyx5aBPrluXr7WzVYZDqrMgnk25Ou/aKQwrTdGUbKqbqQVw1e+Dp0oYY4jTO0YjO3jR2
ol2qdQ4cVELedadvvHZ8clrtaA4Y8OigO3qSLbbuF5cK3DGo8hoXW1Wa1PgOGK1TuW4SqPsVzU+7
zI2bdapTDeb04bixO3MBw/O77mSSXR9+hJ5L/qO7OnqHVlsOAUJZvWsEeg7dHLTnMZYxQFFBOkQr
McwsMvTmQKSP0gNTC3e80cJgAB5BuOo25kfBn2zeU8KTTm9fh0g/RKk7Bo6Zsl7DEajE3jfYXGWz
86RowNaL6AdH4xcjvxZks0ktZeeAN6j9GLT4/FKmIAYiszqGbvWsdV1Lp/DwpPlkQ/lQrgtccTZW
nz1MGnBfy6TV1DDkd9Gi/CSyuhGTf8kEiVc1jcyjcsDZ0A+b0UNRdAFn815pPG4CCaSJpbdUQfzP
iBa+qZDAICd4yG2PPICVpc8dZOY8eeK6warFT9wN7zWqOXr6/JSrdmXLOGgPhPdHwwwDC2QDHeY3
omRVW6SJtZ417Y47BTz6smZ7axa3yVJaTymkQ9uYxWY6mrk/ybdsrPXltfYgrKM2fWc6q1UtIo/q
thtrGtN1HFMxDm2DMttvTEHpqnLFdzPrr37rn9kE3VbT9GBizl4hlMUbZ8LoNRX1fdy1b7nAH5tM
BwJP7A59EAUGlhBee+nKa0XQeNO32TY/I607DVLdgS68UfQib6m3WM8ZO0wfoJqh9xm+hMFcpR1S
ZufHfdAo9V0tTe/5OCyXbPctqZufmLH1VSvBLJtyrFeE0ohodrSFk5b1gjwVLzx1a6JtuB/73PlQ
pMERK+Ek80A+tVoz7qK2Y9k890cFXCUwm+jeice3lMF+VYkMJkHd5psq4hbYCkiFBeJiDCefVeOD
smvKZblA5CNXCRK+cB5Ku+FNJ3lLeM5N3iTpRo7hrcytBcUaQjjSoocwpAmg8h/8UOytcfICp1wi
CVN+H1ZclHBGbyPl5S/NQPl5OCChEzknZ7a8se30mUQhs3E/ZFseq4Idf/w+ltKh2CHZErk98kC/
n4Ts97VejGsOgLtK9CZShb3uGah2sZ5gC24twcVLPlKqe8Q6IoKszs9t3N8ltkB4wHgbJlbLbqAx
NmWU87F9/2A7qbefy+69lfAsfNK/K7M0YxK6NaaWWfv2hcF5ETfJzvO1OwK9747Fe7vOXQ+EiacF
KNkRjpi5ZG/pgwKT9QtBvzBQHgvlYqI018ImTGWCvvSPmju7KnUqRHS1zRc/gZ88M8+LYAjL7YQS
Ruu1hwDfFk0wWCzR1YjS7bM9Cpw+cQ6WNZCKE1y9yZ7zpsEy3In+KZ6yu4EzMVAp6kxit+mK3EcE
Q2Pi5ea52bpL+TWIL8m50uZhnYn0Bh+yxIPgDmSKiPZqmfNEJGdHxP3TlvYVZM/XSNCPxEmKkwId
ZWgwXDldeWa3WsMroqfKo6TCdcs93riDyquGO63ZsdLW5QsKcH5oZ0qUTd74eWk9a5O4kLz5HOp8
64fpE4e9fkqcls285x9a1rIkYx7hZOwtrR1WoDZGukMkqUgx7EOu0ovNbSV7AWsNaXuNTPmRjFKj
lARfeC2reTtJ794Ii3pjL9Dskq3/pqqIXfZ5Fx70Znpz4Jnx8+zNbZZ5j2Pp4m8PtWMSRW/Uoq8j
XEjo1tVO1pKPd6urzNC3pa9HGwxoHxU0mS0p71ehJzDGa+eqd84PSa9iWC2lw5H1neqDyzMWkohp
Aq33RojtjosZh4T90tU78fJLCS0ZyQTWdzZenba/9UWWbNjfkAvSeGrHkwVJzeXW72jpm16aNxk1
FoFKwjSo++qU9PSqCtXsphm6QGfZKVSjbJ9GpIBgeHLeKdJFtUmfrUybfEM51WccQUqvvajZ9iRs
A1n0/VrqUyCzeXmqOs8FrvxVFJEALWrtkSzRU+NjgSgTP5BDfu5aDHhR56kgaiXjq4gflOPWeHXU
oYs6SmF0/0mU3TXKQShZrRo2RaXBPnB4P1m92o6Rlq/NrDxo3JyWIKweDGb7XkXFdYQxHfHd4ghh
k+HAhsZm8jUwEGqV8+3o2qPG8LJ2i2WC9LNvd5n9ECc++qk5+Zzkq8m1P9re3RF8hcUUGcewtChE
nnsRjE72HBVFG9CEYwZeB6tcK/DmvOtedOZiQCk11IKV0aXHym4MFn4pJYwJJBVcgivPy14jsrar
YkgfjYZ1FPvMe7dgTWZCWxH+8DwuZmcnnhmpK1luakUDzGQj5hVZzT8HFAa11xgOpRRUB8ur52Gn
y9w6D3jffSOO07E8MKFGmbWFMvFS9bx148a4y6MS/OJk3VhOohbkTrOiYOLBSfgZ2S4uExD1PKeb
8mYUTbltHHE0PPWRFoyRkHue65FiwKLTn+actogpfzQFNpIBH5R0dcr4UBS8obRWPoCItcy7c9U2
21IHpK1PLcQsfDK8atMvn7tx3DsMqWP5NRfNcfZp54ma+WCa5QvhRggT6VPVoxu03PLcjEdfXPPK
jP3BxRKY8EV27k4fm28n5krnypEMM3e+HsNckqcvcOMPYODXcVa+hV72nqruIkRNNpLqgQiIfIhQ
tMqtmgyFez/Gxma0kVHDWj6MLW2gwj/4toYsnF4pBqBtjwbVycKQFOabpOnPbEQPwEuC3NZ789im
xhTUkWtmd3k5Oy+TTBzIvRoctrvcVhiMJs9hDq+0/3k0jL8ppDiv//0M+hC/tertn0dQwUf9PoIy
UMLVAzNKqt93HTZZv6uj1m9sq+hV4XdA1C4dGv+YQrnfIIwuEilOjcUA/v/qqNARTul5+VvrHh9u
/zdTqP3PeRgBumCRWnEN4QjxkWj/OIWayyev8jq/6mhnlMF35GDE8APbcbRTtXapYiwDLb6wLDdH
tEJvX09RBZnAgH82el+yWyxj/iO73zygM50NieVXqzZCPfSsvZd3W0eFm2I09sPAfwuugANvVmD5
r62tAirVGWbx2LVj/Ra7nN6q+3K5HQ++tVEalWGTUSG9iQ8Hy3Y0+QlUEpkFWlJ0+7Rq9jzLTy0O
Vmna29lMNxBB6B+3+7ND9MjFAzKYlPFMjUiIQ5lvOVE8LO8vsd7bWzcMu6AChbNr6JUJGPth5zjt
0R5xdHthdVImblkr3WRx+hD2TBtgxOh7qca7Ekgf+7JqOzhLNzpf3MlyTfqsvAFxqORyhcZ28a38
00zwN08mj9KEByHG5fCxySVSUzeu9XLQELTSm0zQtpwQnd2UfZUHceWSvhrlxGTtbWgxPca2whM9
5E/KbjTyreW68+Rd3MRA4Vn4AVmIVvSx3Pil+VjH3c5U4x3GD23TLVZV3GE7ffa+DW2xTpvl3Rjz
3BGe/5qmxj0IbrSxkHqULreKYHKsx7lIXrOyXg85miIEMkyMSXJmED+ltf7dtrOzp7QPBlnSTZu4
dWA1hNYdoMnnOOXrjyZw5TNSW+BUYt85mFer0hLQ5rovmWYHyjXWA5dCkVD+NSnDQQHn8+iE4qbQ
L1HV4xdwRfdjI8ZAehVztdXtoohbTV2qiTHOt9dDysfllvLXRpGJXSG7i5QebtGQn3vLAGcwaehF
9Wp0yVmlyblJ/OSgRQYWcK59a2HSRuO3kxmABaLTXVW70JK3hLXP1Lm4yObc4KI2udVT+VqndbKt
c9zdXdKsRyZjZ+ALpdADkGLOFd7Qr6bZBpU9LBlr8uFRd2jL6qnT+p1sS2hlcgtakrb7IgHT1Pb+
RjgDNI+c9jFP71+Wm0Hbm4yi425Iqgl/LLJG6Sz1XfyrJvcq8eRwTegfvCzfKv1Yw4ftb0It2U66
f4jG8mLY5dXs6Waz5wvqgb/uJ9CEy/qi65oAi8e8NmeKzhw0dl6gScg9DCWm5tCXJX8pxR1VAL6r
wC+MIFLo/Xecjdl6LCyq4BaLhJW172PqrAfpscQdO4rD6jRYGsB3RmkfYgNr6wxyr4HGZnE/YGDa
4c1mZTIiEdCyMmx9zcOBgxM8GmN1lGGWbotefHY29t8uzj6l1b+AKfmY3YGhrAUkFVnDdepSTEEE
2oNJOQrEttnTmtmVZnMyo1ydePawOvAqd5WMdW2uykId7BJXydbCom0/9Xq2jFRQtXadYEVJI0xp
rEZ3bGZQRgy+G6/UBDfJ3rS8vaCrnFpFCyrTLUrd1D34emGoh8FvNOvUjR01ATYoypdmFmZ/yVS1
l8voWaXYeeQyjibLYFrr85vBpNouI6vKxqPgIrltlnHW05yT7Y7AQYkG0VHnfNRStriDHIB5zMOZ
5tB/16PxGPrsHK1lbM5Kj5vNMkpPtvxZheINQqe5Vh5DIH1532oZwC14nSvgxjjtl/G8URCSJib2
qWrXY+IDC2eWF2Vzp4XdqfDkzz4ZoB1SUjku8/gvGaCy86C1xiP2alsfMF+71VuSUTy+MFyVaVNQ
v8gKStHKaKa3IXqDlk6veWx+z4sQ0Ub2d9YXP+CPrLX5aC5qhbCJPCBfZCOPHj3WkTfXI9zG2L3R
s5yaRSQPui4O8S8NZFFDauh+K16Mt46bUeZp+2zDEE+IU5nrgTENV1Z3Qy0KFrZxGUzTau+WNb4q
EhE7a1FkKsBitAO5m7nh6obP91Fl69mOns1FzfFoJlzHGns9L/MHPjnrZB/5x5qpD5tBw62tgQl8
WFSiYqyGDVywc+Utjgavp2zNcC/JUN50uQtYrQovPimTtmjZD6g3xx+mDTv1h2mRpgDW5JtwkavA
Sz6Fi4DVDeWzZHWdahlfIxpXt4hdvOsErwFIUXhZtKBBE0OCfOIBvdUrssRFrDApWHu46U/Yz3da
gqzWo6+xU7z2XnXv2/I9WQQ4lqu3QifEsUhzfSnCXTgbTWCj20Vaz5GwSHmm7adEWDJumdOSDCqD
1DNr1NVkCBLR0lXaXbmJbEtT/egLY19lNeudRT6cOjFuskVSBNzHRj8LAWZH/K67SI9ORmWiphk7
ZiTvoPiGBmBCLnq1DOtol13JOrJ2/KOLqkm3rE6SiENwETy1ZI52WCdOOci4YBrcCIW1zE+RYV6d
RTLVWrggqtSLw7wIqtQsGdyJF5HVtSiMSq5xl+IDlRjPS6YaHnI84Li9z4XJW8L2ria4C9qprILy
r/GD6PUzbQ1Az9wPutc+RkffVojAchGDo8pZK+ThsKhedOntLdE8DMjHtHgRiEFP1vP4ZCIwR4BF
Otf88jNIJQjQ86JE+0p/KBdtutTsLc/6OPjf6udvqx8WMv/+2v3K2+KfL93L3v8Pl26b7CTASEKM
WNa5Pv9+6WYlBP6aGzf+MZf//f3SbXmwJ3AQu8QrLQNHMe72v1sSPC7x1mItI6jJH/rvVj8YHbhU
/9kjhidBsL+ALIbP4a+XbgygaZmb6XipVKiteKKwSmwelQlBJ11AeLNRysekN/KLqYrioV2AeZpu
gFiYQ6gC0PQivGFqVQvr1oKmsVF5wUPeTb+smQNSLUA+aufe/Q5En5yA9aEZjlc/iqqAuIMb+F0o
HwV0v0YH86fg/fXQny5FVNNTsMAAjcgtdx21k5uoBxXYGsZTget5n+fcw1Lf2lXQjaG8AAAENDgK
omvOAh/MFwwhNvWfmu6g6EEoBNeaPNULtDBe8IVqARlqC2rG4FtwSQwv3I668vecfvYlGmgCUAVk
iKGiTB6oK0NwOcMAjHDQ4dFciSrl/dQV566edpmvvQ54MeABdrDAUIvsuDrqnQBJHekbM+qPWaOR
ovJ+8N28kTKkvV5J3GlOV6zKLP5p9+JtdBB1KaF8jurseXnWbKo4wicWJQ9KYBGzcg2xszTge0Zw
JGfiMJpTfFkRIsRYOkcHN/FKIbYCLUhpxNPsaBuHxNxpd33lB00S1KkepBbeinx69+Zkb5ED419i
fYZTe+WW2Z+5m+DEUJAv68G75XmJDyWcb23Jj1RV4xqo8jUrrHfTap7nIfvQwopKxTg+Zvl4cQYW
gm61aG9AgglGmQcc+ZSFwavkmu1fGDRVYBZi77TOWY6Ft5H0h7CBil+raL4TQnCth16sjbOGdSWj
RRKvVeB4deZdrElPrXcClvZ0cFWbbVxW8xpR0IKdQROtCXa2K3DgX1rLeqBbdHtt2v5iytGaaN/o
fX6EhtEwniCumIVxhkGfYkjjahPqRryObC/ZTXaGw5HWPrwN5n0DOz7ovQYtPso+ahN3GES5aZNw
E9vI1N/qOp41J5v5JidteKBFCIKUnVHfxxs8oFZ0D2v8Pi/LkVe2OIye366WIO9jGYct9cMEBGTJ
PGun6LG+w04vRJsTesnqNfyaWIslLPcOmW0/NiqEGleqgKhB4Lr+rWgxEJOnc5DOOn3l5s5B8xpx
cRXyF/EAFQCyJI7aiIc+kzIIlX3WsREGPt6QQNfsY5N3ydGY5KkWuXGoZcJPSVGjZb20RnjRhmg7
4OzYiiFhBm8SvJVFg7Wf/Sw73LVX5+9xbm89WfFW521SLTZEk7LaCl/iuBgUM8311vliWowX+2K4
GBnTpI6OpeAG2XnhbV8jDaa+szEnf17lQGmhaJMkDpltJwOVmlwChslppjJ8MVHqtRLsIKXYTVGI
xXIxW1Z1eYoW++W0GDEZAmcSmoa2E4tNU9bVnaP5zXbGwYmt/YWlkHU1U2CmPP0YARO2ljHOT81C
qF+soA6e0NpNo+8Wl6gf8za+c3GO0tbHjav85Sf93/n5N9kKL8G/Pz8fkq+m+VeyFR/1+wmq/7Y4
onEmsML+i8satrNNegiFBiA3Qd9/nKD+b1AyPRdnJyeb9Sc4gf8b/muyQC7ZE/Jj4KD+AiP4T3CC
fwFwFq7pkvnBNqGbJginP8tWsxUXsSkT/YLfG7BPMUMIMH7K6FP3MfBhpGic8px4fbdKBt88DxW/
3pjuxTHKS1dXW+K593lH5LSdCXtr467N4peysXdYeu+t0rup/FqtWvfVcATm2VFtZjc7KZukcIT3
gDt494Ro/AjPh24IX8+DujbUWk+q1zDF92WbJ3tKN4VRv81YrI10fkGjhk8wKqScckOa1WXRnexb
ElKrtJxfOHH3Q5wlAeWuS3zmFd790+zJs5/WL4IpCGys+a0xNeB6/UFXurkSnb1tfG07u/M18dFo
+JftKj/tKHooad1VHFuozjSLDgeVIM1rXPKjUuzcWts2Ld6SqfB+1APC3sLxP8xdZqyGkMNAzwmS
DtreGRIe5xRCQtAkAy9o3TP61VA590PV3U+qaJ5ye3rLKxRyB1IuT4Nn/Csn9mSw7PTxJsoqezVE
rrax03KvegC+Y9edhGgP2NslqpN9nIxP4vc/o7B7mjybJ4/AEYyO9jPT6TPOa+smd8WX5bI1If74
9OtkwTfBDoWQh2pZU05D72CUnPZpO+3oxd1U7AO7lu9ZFOViPUxR6jRklVTf3KpRGfEmdFO5UzaB
JGLoCX2+otLVQXpetFGuP60NU5GerqXeoHskAp5n26I0veV9PRxSZZuKGUcfi9VoDZMIClPSep0L
DrOYiAy6PR0BNcY6aX2UcVPTlo6LzBIs4cjL8n8DcfK5/cAaLQI/q78X/yrSV7qeyDWtXGPqVxxn
9+5cTSfXcm+1mE2pMiv+DjisUotf8lG8lt44BP3YP2CyiwFyVYhatf2ZVu03I/fXrIio9G7+I3IE
LwXL4iweaakA59GUWrLBSW5thN2zpmItZ/nZXsTNq5fZaktFRL6xQ+91WhZulXA4bd3hkwTS0uEy
LD4CdDfOXi/QUz+6ySPtNnrNe1ZUHDJj+im4etgFrxf4AFhdT05JAkFWd72Ftoum9FSJpFo5Mlp4
CCvYh9hTdec5XAiNNr/iGcNzNNd3SZgHk9Da89C+lrbN2T1p8gQAd07W/FXjSmcJrBETw3uHpKXF
LW2UI10GAz9xiA/3gMujQxbHp9kpb+emOo5l9e1gXw1y0SMG11PWfPzvXPnbucJI9B/OFYnD9F+d
K3zU7+eKCdlmeXBzrjB9/YUKSHAZFzmWFvFrsfH3dQiTGacQarTAlgd37M+Tmc6Bwt/FIxAznWP+
N+cKKt6fJrNf7CpahYXpYe+zPPdXe9ofTHlZWeVVpqf6hR0+iQN7CR8wx3UfTdptepHxeivCbA9n
DqnE8H+Eqo9XISr8mtDluyryB5cg9srUzXWnlM51KnnvNP3Q9vWZxp4oaGwwNklN1t9hdZxZxk82
pNGuNYf2VNT1oe6jwJqTi6W0Q0HYp82mldG0pNBCaqr7CWXIbb19iV9lHrS1a0FKHxwZSG2+Zk4X
Biwl7wHOvaJ6abzzyrsp0wxsgKyaY7AXYQ8kiw4D9sTOiQ1lnkw/8WeBKrXT+7ahxripWbLyDC/0
Glc7dPhJSvNGr8QFO41Y4bY8zcRb+7I7eW34WfnDKQFVZSL534mx7oOoDCGuoNRgTX8dGnvDU8N4
w2a+VAx467ltfiSm/hmx5eEoserAyfOn0dVQgGGRSuD3WBhupjyKNwb/hlDPbpK5emtT2W77ED8B
/VBFEJs1rBk7xCrFDqQBHUKY6kLk+CeAiWUNbZ5Hr94pkcmVz9C76gG8em0E3MC+ZGaFFW+Y991g
UPw6+z9Sx992g31DVcJOVx5VSF56B9ZAoJ2NZ6+deQB5+mYIq5cktq2gN2vOBz/7UbeTi59Rvdjz
cKLuoYF8UXxLr7kxDSs6xxnO9piDoVTOhq0EJenK3Lchz7u2jh7NvDnoVQzh1VX+cXC6agO6+rOM
3IconHZdNoybQhbHSZq/QrZfo6iWJxmpYvXMr+1LiYVf9B4jnQnAIk7VlX1SfvbH4pFZz8hyxFuU
LpSOdWyFMVJj+821ZJ+6zc4hphRAGIy2/MEbo6s3lWQw1jPMlbT0PRh9s0vt7FVMxs6PWPxXns2y
ja4uxc5/XZYFMMeYnh4mP6Eo8CTNtZlil+EWay33m4Z7VN6u0mIpq56snRnJU2YLip/IombYN0U2
HNOYou24oQgPhiyx05MiggG/J3Gnjy6SzXNMnyoYbh94kSNL996sKMWMoEwU2p3ORe2+nRb9zRiT
rbL0LVYXPFZm+J1F41do+3oQS3aTeu0e3XL80TrNu8q6elVJeUfQaafF2Z1BTAL8jB2g2ayrER64
5fZ0UujN1rPpSrRywT8OcpGLjdwa071Uo2ANj2XHz905SPuWC09SrJUct5YzISqA7RnHn15ILM+f
nvhBw8VItcOUaOeyjndxph1KbCgOQ2uU5mtfC/cYHLaZVwImIYA9ifloVerZqBtIMpCsTPwCPWYW
VnHpGUdRxkbBhIvi7gb2N0VV8AP5oZp0N43dltxx0FP9AxKTno/SXU8F9pvEfynSFIRJE0Oy8Y01
SyeoWwWm4Dkr9z4RQ245Hy0ZYJ2CpGl0q01Gos6qphvqLg5DY2EYMXV2LsPAz9YmFY4q1TYfXdNf
yB2s21Q8YltjZTA15zkDKCW47oqMd6HOdrUeDX9LB8KD3YVftYO64vfFQQFED1q333MJHgOtJtht
FddQn3vAUwnNRURovKQPYtHdDG55wgWNsJvlqAPeK4oUZg5vT6iD/bS+893uyproWTerQyjGrdMz
oWZpzvNvLFHbHHlvdb4Kkrm5CJ3LY5Tucx6AVdLfhs78iBCFw0jdhWZ3bOoehA73/ZE74TybW8dp
NpZmHFjV9OtWljNPYWvr2+qkl/PWK7mV+hj960p/p6zaZFfS/bQSytkGpqwD6JOrQdNKFUV3xuyd
fW/qg3lmgefMw1F3MoojsENlVcTooCX+wYrsbgef74oGtc3y6Wr63rdlzizqqnXLGqxtPI1VExT9
AQ72pKqrcr2ncXH+FraN6bGw/4+989ptY0vT9q1szHkJlcPBDDDMClSWLfukQEty5Zzr6v9nKXgr
0O7eoIDhDzT7oLstabG4uMIX3uDM+1CNbyPNHWZe3v4MqwadMflL3KREstmJ78DnRtLlshlV+rnl
T4Di8N+V/NTvMaYMx5tIUZGfaqMvnMDzKjUuSsnNCNecb5JZfu2L/hg9V3r+TWLB5iBOVSiKR0B9
elHR8471uuYY1weAR7A46BQX2EiZVRV9aWOpg/BBv3whjXU3tXt7HssBYGPKO3mXjLM+8+/1Vmtm
Q5uBkSyVjTOOZ0qJnA7hggcoWKHSMlJK0oqfVg2J0amjNboxHJeIH8zgH33NQvU8S9RLMApYsYB/
6/3qjhQXOhcdCGk4q0zUsFXOr9IC3ob62E0/SF/yPruOA8JfoESznGoKag/dWRuh4K2PNoR4Kitx
EzYXJc3luQF+YqULwzXTbanGJgqOQv/CW1b9WDg2EZIStTZq1EhqvOOyVQVaIIOjOWfKVTK5NRbt
eTEdJ8nU2VxfVmukjebZtF4FJ8aym/mrbOEfGd4qXPvL/wS4T40H6gi/D3CvH/zNtgDX4K9+BbhC
uhGsj/63tvWv1oPA+4BgFyxEyidC8PEF7yMf6BAebRsYkGUiuEFY+tJ6oKaCqiO8E0cV7PR/5nxl
KMTeb1sPaMUYohAjlFnMR0rma7xPGrOuYh7jrHX8qJqFGjaZhrwK01Q6amIPvQ7skwzRIHTb5rDv
BmJH3DTmSusc1UZkTnPqQgsvHK5tKSuWTZhQjlcCiCZmMg+b/M5TewryY41WwxLTzkaaaVLzpbJH
/XJIwm5pliaWOfpgHoa9BUFO1aa51ZZrEoBmYoCRxupQ+VG71U/ZbepV3qWnpRri2Wlm1J7p+F4O
Sn9Bl9G8KEgW8UHp0A+Oqb6XtgmWzhFExwYI0uDkzgRxWJCqET6djbRSQsudhzDB8JgK7pVU7ZtZ
1VIsqtOw5UDipvTyEcdEDb+uyE2VM1cNKek2Kf+G6+DKUmJlkvP2YxCnkxLOD+9CZXsk2gEsIPqg
Wke1wj0LM59EU13VJTxQOM2bGpDfsenRgMjq1qBrGV5mRjVFqO24lWRuLlPD6jChqTH6CuWrBh3i
huis9E13LsOSycfqyinLFYAs+9AoxvOyi4YZ4cpXrbDusjI7LTg6JqXig5U0znFtufZaCu5dV87a
yPlZ5vqh3Dhro+rgLlaSSQNGt5Z5nN2GXXxkpsG3PqyRU3Skn71n+9OmdhZB3H43UuchT63iUNGJ
U8MUB8bUZFramFhA8z3/JAg6QuCiCqiTgwIdwi+RDPazS7hJ49TocUhzAM1yW07GqvpqttU32wTX
o6vZPPICcNAexk+g0L5kFCEWiYy2TW+b3qyS++uMrz5+BHsELf4O2MagUYJuy9TTm/NcoENkgRMp
AYzoeX0Lmf0+oca1cDXlPhfYEjQ166PUVQlVwJ2g29YuTIFFGYvK4+3VftnI1BDlR9BKIPArua4d
SgLR4iHmMNXsjI0A3GUA9qIDf9EEDsYBYD5XwgoEuln9hJRu8rQYrLH382kusDTBaAGedRFfAaIG
loE9Aqsj5gIChePCz9IELqcDoOO1BJ2+3Z9pQHdUIDwEKmdmZONPFSwa9TBJZm63dhiz0uurXKCA
TOBAUWJ+teD/gNOKJ50WDjMX6FCEmacsoERpfWsJbFEGFWeShbkzryynnGZ430zqEOpplK9VtVnC
kbmpACtFhXdSE0WuFGBMAbKPKrAmvemoHwqkU9n3Z0msjke2HH/zQUUZJrAsIM3WIb2jE9WBxwKC
KhZQKluAqrIoGgUhEnFEH8gVuKvgsAGFpYLGUkBlxQKeZQuglgliS7eMr01ZnakCyuWjMzHrBbwL
tLsxKwXkyxfgL6mpl7AEANabI4EiCLHOdL+OAjJW5EAX8Uzl6OHvyAdoktYx7sHRoTuWD4WAn3HF
I2zkqCtkFkYAyIDUHKZ12oJbU8Gv1R1phSYgbWTJ+ixqS3MVgXeDyHesg38LYNwgDQgkLgYbJ4OR
G8HKucJYrxTwuaKOJcqMyqUBsg6TdYFcSi9UAboj3KPq1CxrAccrUtudq1V7UYLUc0HstX5FbU5A
+JBJCgSoz7WSixiUX28F0pEP7i8QAEC57o9MEIGtFwOC61VD+LHF0FK6aB4LCOEo+2vkM6Hq0sCb
SWX80xvda+ygEHJShDGHACP2fnhf5sRmGTBFWQAWqbar01SAGDtPGlc1uEZLIC/GYrwYBORREuDH
yPGueiR6GoGKBB3pOEm70PPyCIa/zy3gQ1YQYEqNPHYamygWIYV0m1BkQ8t+U1R9gDIFYEwbVCYN
2BsVlOaINe4kVRFtbfVFCY6TZu1xAK4zrNx6NbKIpt1oBhP6AMvBUu5G0KCGx5ndgw/Fb25eKOUD
8de6Bj86gjOzBKC0GtA2B2GaIQKLzCrENbCnEIJXFlhU2asX8GxWMqqinNw54ldAfSiVxNN+sK7R
xVqPuvEQ1RyUgWZmcyjuKK8OPU3eYK3A7J30lXNWOgBVVLCyMesWCgrSXJbAeLSqREuxvIDJQfIg
yIoyrEXuznKeBX4zkXwojcg+m2e2oDlKFuSZsipvAxiQRoohDUooN4pVfwsFSbLkXEDJhaUBD1Th
BFFAudo/qOv3y5LuGs/3owxR/03t7L4SXEwnhJqcCn4m7rnGzIWyyZ1HRYafdbl/XAtWJ5VwQnV4
nk7S3LuC+Slbxb3mp2dh6GCNLdihNQ4wiuCL6oI56ggOqYdSycQVvFJ2WTF1bePUR8GVDmQA4BV5
hQw66oCHwdzinBQ81Q7C6iCYq4EUfo+gshodSYKfJEvcGJbEEXwHbnulGNglFi0p+ihZh3ntcxWn
MIGo/FtTpAgw65WU6ky473lDAhcuyqZ20p31FqJSlQTfQQsIg+v8py2lwMR051uHNcZcKmDTQnnH
ZghVzxydSRn5zAvoDmtO88px1zoFHz/QDRhPDVglhDWdAhpYnFFEKAOZ7gKN03YE5uQU/pMbwX9k
ngTi5g9xdAPnIkkfiJrfyauLv3uJpNFHF8B5i8KuQjImMPC/Imn5ALi6YlpIUZryo3jIi66IfQCu
hqafoj7G0YLa/RJJYyCjKQLjjrAhzLJ/1oI03+mKPJaKZZRFTEV1dMJyoTb1OpJWWoP6E/ogZ6Ph
HyFYRRUuI26J0tmYhtmiNUDyhW681vMYAqCGcXKjLIO8PvMbKj9xOHM6FRi5BM1JOeqqfBM1+je3
QvYnrdf9qJx4jr4afdG4krJh6lveN9T9LsC7RXMzSTYUw82p7g/cFXGTT0cFFnEyxOokjnzOo6QG
X6j5x02T2Scp5RTbF7VAGF+Tkapq6UQ/TGBpmqsQbmDWDhRiQu/wtlNaAQbmdII0OVMb2oqRgnEz
IO57M8vgCBBPTUffgq3aRsohwMGTurYONTe5hpX6QNlqXemOKH9cE9xkyHl4S/A2OMCMyKW05pmR
WUdxjVa34xs3GiKlWAZ+73xzUbUYhZXoOE06xz6nJYTaXXYWdtFp2IWLXFJcyCuogGAThpZCKX0F
FkE8PeYz2QhP/HLsJ6JfRgxZHyL1Bo42GmGfm06ykELne28l50bbnOgg50/z4oLm3CKhnMy1cmYZ
lH+1ntyCWk+IBqJGpUFTfFg80m2ru1+5GxdmAy3YwZJ9pcXJj2CgBSzJiEPRN0VMIjwdWqauiJoL
uXepVURm8qXQD9ERwaKltlF2IlJvTz3ZXrjUkRE9Mbvp0LRXPp1i/jfWvxTEZnWRfml4DBehrGkU
QG4DPLU0Apm5sZUp1LbjouV7CEMJpp5sx7NssAFkDtplYANL7tx7vchpMpjmtZ6ZlxK56BQb3BMn
QU29MSxUunMiRsKMS4n6uRHWOrqT1Ov7IrzGo+eOlvosdZMLJG/uw7T84jmUx1BRAKfBh1rlrtLR
bHTxnsl6b0rosNB0oa9i0X3IgmiRB81sBMNljBH13HYVqVo8T5seQCz4f9sw8plu0iiQrfw2y5K5
Q/VVGL/70yKGSEtsRpOxV1Dxq9DTkWCvTMYebA2uiPkaNRqUyiMYuA1MVRnqWBbQ4Ah620YJkjQw
LlEmRviQIDOiDFrdBqZ1gn7oZdpmwdQKcFmTlHFcJinM2NQtAaQPcMVQgfmep8WV3fLFG503G4zx
VG7ce7eVlJnWGpdObl82nbvqNFJMxXUPrUiyJwaLfgKPZ9GPlPlKkirAARFoow6Zx7AoaVOPw8bT
xmoKCxvqKjM6qaXyiGb4TI7IrAfq5UqcBGcOtuXBqCbzIbpExVyhvAwmd9xI0bCpW/Pa69vrKMa4
t7fPIxWRUODSMGxVeJFYH31BSBwKKCrb/lgv/KE1jygMduSrtcHXDmA5lYYN3+twBIIJNwRAVTiN
ajNV0h/UvlrHsrQGipfOA3tI5yjFbTIACkNeG1OS+4Gvi44tgFxrMpSQV9Wiu0qsLpsWVa0sXaTT
hGAXz9PG6axrWIH8+081puM8GLE7iXSReMfSJWoGD1XCktDNJICxZ93kZXFaxYihqor+kOfoj0nd
ogrhGEtqrM/TzqLyqpDKyWN54ioInIFjmmHkaR8XKR+aDKglX02/6TgoL2CZQ5UJbAd9C4iOOHmt
XJgXq0wZNoWJKqrD0QgvdVEgFj9FK2491v5ZBfVlQu0NAlOgXWH63aGXhPBPJS8R9LvOR87KTLlS
vILUZgStJ2fWBkDlUW76RyofbtYFtOYNubmRzFGZAgMp5nEIyK00WNRR5X5rzfFbWcO/r3Rv5cXS
CtGhZk5RJEKhu7nKbSWZlRHfrybhb4FuxbRDYmbiJUgplLTBOeUz3znjoFuCtE4mql5d46L3JVLr
r2VhU42Mmq+6M8qkcJ0Cc16l612F9DFs35gOPrly5iFCHSvaYVmFV6mpLce8yQiRlW9dBP/fiUOM
ypxwaju0FrTcnDil+qU1L7rqaHRvO1Q0fO0CNYYJgIUv0E1vAmwfANXUSzPNTtUc1ZA8VqqVHJoP
Cgf9XMFvCoI3WxvZkpVkAMO3zDGYxxZ5f6Drs8zpTqo8vmxJyyyMaSc9OL9xUK5SAxBrRnwYeM1X
sHWQf4v6qKhPW5Pcx0B81qOcjkRtMIszJ1iqRQn+swy+KsO4jOMyPEFygWhZKtfOYEkLxPajhVb3
4WREWgStU/johisMrLwjHDbx9DFtAdXJPIQIhkZTVyRUDxgn+esurYFrwns1rK9hBpcK223Uo+pi
HE4VWPpTv+J7ttCZXXl2PQ/g1SDgVR25oF3PFHTCzuSRtMqtav2wtfxTekG2vYGGQrWn71XOY7uY
c3mEOFB6i8RQ1mpuHHIaHZkuS8fWURmp0Y+QSl37Elg5J0RbIMRRSSvoqKegabxV6ssPQDUf8Kb/
wZUDb87vV4MMidxGQx0RQg39hkmlKdks6mOsISNkKjx/qcohbQqXxBefzFu/T9olApXhvCOIL5QK
TUTaDVhhiBaleewx2fkPuEeK7l6C+V9JoE3RTLXOtBwORtAkyhQyxw3Tzy2uxA95Hx61qmct8qK/
KCtzGdoVyBDNShdpL0cQ82Th/U6XRym627Tu0b+Irwx9mJmxcZM4xflQhKgojBGQS3NRBjE0ByWB
49Fjc5ZfI4l8x+F6XiMMOMUEniKaWVyijLbggFOWnS44HUoFqwuQrjXSMDVrmmZhckaOBhbG9RuM
yqNhXvbApTj345lvjj71uArSIu6WuYlvfJCpmxFr9EncddhcAg3C7/SUIPe2LPOT3ooteOfSXAHc
aHT2N64WBB6AsRbtMTt3Zano/hadL4p4gsQUrzuFqzZSTgK3Pnbj7Cvpz23n4maCy8fXSu3XWQ8l
HLcyZGVw+ANZ7H1JBlxAFSk+HIOjUi/XCDQs8k6lAhXYF76Rc0dL5k2Tt+ux9ye4Vv2IdQMzBYUM
SRtOYGs2q6EcqKH15jpRbChsCQehRNPVCFDLMPRVlIGVk8fjptQ08LSAH0y0k8MuSc412nEz1C4k
8MVwjlofKa6WOuu001V66Uk6TPPKAiM6lquKyt6slMMfVkcMY/fNuZVX2tIp22zpOVV1khRoWBda
BwLBsjmUXOQ6cYtx4KITc7o1m8uIKRlfm7V0ZAZWsjT97NAh2gKMl2shVtStQ1XgP22Np7bGH/Gg
X8jCmm2AUOMVIFSxyZ4E0pKiNv41r6W0SNQMYUoFFtNBavY1IFQ/cMjEANToziM+51VfQzvgMldJ
4TTZoh9B+vQPAKGi7/WGUOFYqtBcBJaq0NDXhSjvK9hOL2OLXZZpczrCyQEfKUCa0FaTpwXyW1Ms
Rf7QPnEox8CwQwkE3Kmsv2vAKUg6Fmao50SGhnMT+QV19MSKh3FFxwU1JK1OG/0Q347xKqQFioSN
on8NbXK3PAtxfYTAfKxYCXRYqzT6czQQLrUhI0syB8+qjtsorLTvbV+YNhp2RduiSgfQotXbAKCA
FGNxF6NpH+R5ps4Rr2hQFpSw55kAgkewIBqcuYAsybMqvTNivTu1yD7P9Abu2FTJaSAvMrfXpjG4
WCnG64rSV5dpZ3KrGNFJG4dnZR11QAmgZ/jOOSyZB6PK71MuJbeSry2YD2mnLQ3JzLg3+BQgDmnD
ugsngd+ZHLrDUMy0KAlEo3YWD8VP3/Yvkf84VdT8Z6O1V7HicePqZfjNitBQdLyoWUtWXp4WlWEe
xQFSs06CntOoYuUnSdpPPawQE3R9+TSti3yOoxMe5bFkzNXOXoNVOK3SqptREqM4Rey8rFPrZlCk
21gFk5WFPuiYuvZUsLGo5bMsuPABfwXoJokhahUwglnelHqt9TPTTv3LCv3DeYOWLBhdub/VAUgx
i5icTKoICQ5dKmHmImNZ4It85EuKcvqqFHL+tGhfO5KobLL3a1koAtCk0dkcLOu3a7kYysLzoBGc
cgFtqDUqVyjkT8AU0NlNV5DdAJnOk6U1Rxd6YhzpC22urtzpv/QjRH7g1XMgzaoJJWvHofIho8P6
SGJ6taeMHll3r/KzU0L7oyHGeDnyCpe8hmjEtiJnXrQuPF7VLAFg2/Las0r3SOE7MqMCErk1nDou
mtK2On6v+8xZVCoydXWdL1x7/G4ZLiagLnhYd+y/FjG0XbUshqlVhdqMYi38RZ/yueH3c/QElp0C
3M4dCSJtF3y3sxo1Wm+qutQR2ZsUNQjbwAGqlaQrhGxmGTy9SSbn867zTlSUMMkQkCGFoDRJkrCa
sYlPOwrIy8ITYBjNu/G6bAUjcE1qJZNx5ks5YqFZTgElWQ6v/vwVvz1EHkVvSeVQXNAd6kea8+4Q
cUa1c/LELU/lFhtXDoKYD8/dLgX+3MhAXOuFt/nzWz4CF/8+IT++p0AWvPo2pb61yjbyqtPC075h
4A0M26NdUFkrPWmQtXcR/zKppljAl40YkRTEpYaTsWxALUnGSRbYt3KAxAnaoz9d6M3Ywa7VzLyQ
3fHO8IrvSRcUsyIt8v8YbT9Jixh8A78vkX5rfvANfyiP8jcv5VFVgaHBrSqQqqaiCfWQX+VRhbva
lDUHjsY72WWHn0CIRMdS5Vcsgb99KY9CfwRUojj8SNHtfwg0wKryzfHxqIOP0L6JvAixgako7xZc
XJe13Ge9fFaH2S0NOmNpRpp0rEoN0ayt5Ii5s+cAbTmnfeRWiwyh4Gld6UdlZqCrkNIchCFknJR0
dlGqiHB86Mxl2zVXsd3n63KUpnlL47y275Q2Qigv6VCeb9zZaHaHjmsvyJPkGR4Py0a4HKeOaM52
+k2Xlis98NNrTtlm6uX5ndnZx1mT35SKnk/1BNUC0yvu4sGJZlmFqlbRdas+73t00zI/vZA1tClD
XT+XNPPYRQViXneyO006yUUVtqTzFZO0uPXGarw7N7HxMhtQjvWGvDhEDiGBVSBd1rEdnzso8oJQ
8CE5aCVQusGyZm5ACYUeHFbA7kBlVi/npaPdV4FJiF+c2nVASuJHt4GqXdeZk8+kUH3II5rs7ujd
lAhOBzCzGmQdJhA2VyCu7uHKpUDh/VXkoFsih+sKb7ck9Y7D0blWQo5eYxTSnap8nVskgyNfQu3n
9TR20dlSa2MzNFUPPq+6tTtKnVUOFKow0IDQ5XP6XsrMd4OLwEFPTEo61IGHQS6nAzB7Gbi9DOwe
zuNxK3D4WlhdNibY1x7BoslYIl5lAdsPaejT+oxnFtKCwqUFdGYKHgahyzquImSYy2QepJV95qj5
sIxxyJmQLR9iEeOsvap8UIuW4sVoeRdSE1HgDow7B/L9aTGoP2NU5mnlmMjr+6HqnJIkelP45xES
ybgo1gZlwjRO8yMvys58KsqQuu2zDjnTqWlSLfcGhCQjnYqBkh01pXqaZzlWJNpIZBFwzyhNBqbN
kJZhjygX+mjfzdz/EkVRg7Y6jX/VpyOg+sybx+TG9Aboj49fLFgnipv9SEh+GrwpjlCIvFDs/Ccl
/Xnjg0rAI2aaEp1M5brUDs24OMzN5KivjbnuaWeDEp3pGtbKjnC2kbPwq9y5N0YiVStaWNnUl6yb
svYMHls9cXPiKcmmfE2DNpwAeLhMhvpIhmBYROFlEHhzs4m/dXL5A1+JDIsW5H0G9NvsMmpmJdx1
rtMUWTwm19ClI7Af+tKUudAbZ4ggfVgnCGPfcddrs6oevuaa2kxaJYdJL4r+9VjMhr49jNxRBk8t
n3Zx98Nnruemlrs0noNikqn5rZbmaweMoWlni9BH1NBW3btaxg2yhCUlxV2BvwyMyihsjvshKgCr
xBFeSMZ9LaDbBUSmxA5PChc9tCBPMDQgRAj96rsdFsdgwG+UaPyiSNUFz0cLUzcmTuesyz6NZzzw
zBvbbuaAhLaLHpnHUb6sHO37UDv5maf7MUZKUn9EMVY6pAaEGhskozYqrvRGevDz6NI2U2OaJ6gn
An92q0PXYpSx9I1VQl5curRTQo30PUnUi1CmmGBrOiIXSoUBRWZF0yRjEQ92jLilZ4EgEuDYDqNV
149pYHv9RajKMAoM+Q71pXD6eL38f9CKfH7ErZbNv0iB4qfnGeKi19n8sWf4yvT53/qll+Ry+0DP
N+2/5wEtIvY3N/fjgz0+0B/HiTeIQDb3uExDaMGngHub8PrxRYQYZ6n3/GOSBucAXV3snIVRDe/1
ao5+Nwt//oCXH+yxP47z+4d/HYlgLPP0TE9Z86/5/Befnw/498fH/AGApInwtfz4IsV5//Fp/JLL
I+Dw+NqHSUAp4n08phC577gSnANkpNFigcL6+OJd3kwFBn/4FinwoZ7ixf/jlbBlEuTdtwOrHXgr
rXQyTfHaMgkylA5YeU8Tvn+TIAjIO68Eh4gcSY3nNf/+TFDlAwcOHF4p+zkJwoR050mwDqgg2iCT
taeN/2ES1AOMJNFuYYn835+L23bD04P9s8NRrPe/T0fKqYoKj5fywOOLzO7tkaAcwIEkpVI5N/dz
EnY/F3FlQ7oHFQFczMXrwySoBwTFkEgVfrKXk/Ahwf/nYQIIKF0xQJcC/996LrISuBhsyAZ7Ogmi
LLDjuUjjgSOPu+E324FYiUIlNlLW00W0f5fDB5+tf74STLxHdEWXBXLtN9tBJmCkIrS3YcLTYbXL
wYgKl1Dtov/y/kSUWQKPMiBPAeW+nova7qGSjj8zVTpbe44X2fhvLgeF2NrRURrei8Rh2wX5dFTt
tg4Ahqr0FX93LAIPtUVAqe/rZhAKBjsfi3CoTfqez5PwfiGQONALpf4qdsteXpDy07ezw0rArckS
XTJVhAri9SFc1MksdI1w8Sks27+7Qdt9JVgHDqYXOqpKT1HCh5WgcCQgoeQ4T+nVvp6Ootm+86aw
UKQih3paDiIheXM6kkMRT9LeEMb3vPZ1KgTyYsepYOXb3BTy7wJoUWLCR1k25X0NoJ8fbIfzQTMP
LGgCRNDPOfX79SBiRxt2kv1cydm/80HdPYC2DrgD4IrDoXhZ9G82BZPgmJCSuUmets2+3he7lxdI
rdF+VTC1f38wkE7SdURPbl8vCtFA3e1IwDqCbJIS0vM6EIyaNwuB09EUKks49e7pElB23g1MguiX
60DP3n96Qmsa6YiHPwcTezoHgoi020Kg/QDuDkiezFBvVwABFYw6uvX7ejMqTw+2y6VAYIz2gUHZ
/ek8fL8NFOPA4M5AO2G/gwQB3thxIRA6WqBBDLAij68tVTZ4dpwHov7Ge+3f/ag8nde7rAf8xmWV
e4Ed8XL/vdkUQF8JH0zsY/d2EljCO64E40BDXYSa89OaF5Hx20mgUUWWBdBoX+8Gfee7QdPRhpfF
av99uIjxkibQvy8rZT83xe7pg3nAN02nRafd+/j6uB5MfkYPYl/XwwcO8j+vunI82oLdq/+mT03A
pKFdiLnX0wbcw+Nx95xaR+5ZVTUA0U8L4f0dwfGowrkmaniqRO1r5KA/nd673BQwyHXkRg3zd816
gckUk4FBxJ5el7tPAq0I4ZxOQrk9nWRTQIsn5XyOT/ZvUwh/vt2uS7II2k1IfEGHeXwRhby5Lqm+
ajaVelukGXt5Rzw3j3fZDqI9yZlgWc+B9PuYQYXjA8xdA4i8p5MgNNh2WwkaJQWg1iSN+vZsgu3A
D4kqhGIEr309Hp8r5LusB+sAjxwHv+znBPr9TcFUoLjscFE8zdXeTsXu54NyQMwAVuelX/uh2MAB
AstHJ6De063xHOfvsh6oMGPySw36+abgo749JLkuFTBd0GD2dRJ2r7WY1FqeWI6/OR8ga9Cmg42x
r5VHwabc+ZAkcVRp2T4nVh9OBiYBphuB9t6uhKcH22U7ECfTrtWZhN+sBLBtVF+FucqebgchdLrb
SiBwoqxmklH8JsUmcKJvrwBve6pS7+0dsXsgrVGHpBVpm78DNgGGxLAZquC+ToK2e/HNJpAG36WD
13h8ESm+vyMoVPMfilPita9Toe5+SOJyAWyHFfFcbdh2XVqiaq0+TdXTO+5feiUYyzufEjCfsYoy
nutsH1YFqHgOSupw+7oehITzbpOgaVSfZCxRniuyH0uyxNuCyKnsLdbrGa6/w6UpED74jJFGv0A6
3p8PKoxW2jWUHPb00tSeHmyHSQDGIFzYAIX/phgLFxgbNJm25r6GT8iW77odDKIjFYk3roqXm+Dt
TUH3mq0CLH5fD8Zn4sYuK+ER1IcYoaB7v/n04D4V6lEAQ5/XyL7uht3jaIsOvgzrHX7c0+vdVBBC
0sbh0ND2dSE8b9NdFoJgEBIqCPmc7btBhVjmUHPa3yNh94jpEdmEvsDLmt8SJkCjpEip72uY8Pxg
u6wEogCaL/AHf1d1Uw7YKgpllqdixh4GjLunEbQrNZSm4D9s3w6PaEcxDc9dwX9rEv6NX/rFPZ76
QXz/SE1GWn8bOfl3v/DC2/3481d000fS7ZvfFFTlpzd/IqWK//8/m/skSGdBVZfBXa0+ojVe/fQF
vfH4Ts9///wRP775mzd7+Vwv/7jCQXZT3iFE8MjFfn7Q000Ct/l/Y/7rfvOeLCty3Jd/206z/hUt
/3l0lMQfXgY6vP/v/3pSUxE8o78/6n//19uZeBV7/HHwZHOflS8DvRqc02PnwSf4/W17cNb+zmNP
N/Gm5SupXsZ69exEn7uPj1539eErpapL++QTBk/rcvPXNKvqbW/BobXzW8we4r9Os3Lr/BOP7Dz+
PP5rlpUsnpexXs0/d9LO4y9K7Dq2DU4UuPPgy/ghTV/GefXgn7FdV03yI4vv64/DCyTnzo9+mOQP
ZbCJX4b6++kFTHD34dNhy6QLxNnOQx8/lFvmXDSDdh86SL0tB4HyGXv1ZBNtOcMEeH7nxz7ZVNXD
tjn5jA16klV//W/qPcQP22bmM7boenPPAfwyD68W4mds0fWmDLZNzWdsUTE2ssxbHl1QD3b+WtcP
6X12F2w7vQQC4RPGL+8e7l8G+nveRTt798Eznv1lnFdjf8Y2XeOWvGXoz9ilDF0/lA/DluE/Y6ee
bvJtq+Uz9unpQ7v5GDsa2OW9fJYdYsezcsMR8DLQq6/zM7boeby5e9gSO4pi1M7r8Bwl6W3BnVAd
2Xnwy4DQsQrut8yMKGLvPP7V5q4kJUjrLctdNJA+4Q3SvyYPabD1DT5jq15txBuU6aa833qQCVr3
p3yKWfDgbZulz9i14kMs2AF3QXW37T0+Y/uK9zjKNkWz7bYSTNdPmaWTJqj+OvsRVPm2z/EZm1l8
jvWmftg2/mfsZ8avN39NNuWPzbaYQSDZP2OmeI9pvP0dPmdji0+BiOH48rh/n6lC8mL3j+BvtuaE
Ar+5++DUMLZO/qds5qCKgiFrXp7z1cR8yl7O4s226EHUenefGAKTbS63QrNg98HrTRpU8aapXgZ7
NTWfsnVFmWXLPSxATDs//R8NgB9LYTuEJ9fE+EG9JWgT/fTdH73hJNhyxQu+6ycM/kdDt11n5s8G
BbuO/i2Lt5zzgmW587z8QcX5z0+9rSz7i333sVj7ou647c/e1qLFb9zFD5vyf/4fAAAA//8=</cx:binary>
              </cx:geoCache>
            </cx:geography>
          </cx:layoutPr>
          <cx:valueColors>
            <cx:minColor>
              <a:schemeClr val="accent1">
                <a:lumMod val="40000"/>
                <a:lumOff val="60000"/>
              </a:schemeClr>
            </cx:minColor>
          </cx:valueColors>
        </cx:series>
      </cx:plotAreaRegion>
    </cx:plotArea>
    <cx:legend pos="t"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275441</xdr:colOff>
      <xdr:row>41</xdr:row>
      <xdr:rowOff>95250</xdr:rowOff>
    </xdr:to>
    <xdr:sp macro="" textlink="">
      <xdr:nvSpPr>
        <xdr:cNvPr id="2" name="Rectangle 1">
          <a:extLst>
            <a:ext uri="{FF2B5EF4-FFF2-40B4-BE49-F238E27FC236}">
              <a16:creationId xmlns:a16="http://schemas.microsoft.com/office/drawing/2014/main" id="{5248AE00-A430-87FD-1F9F-6F556586BBB5}"/>
            </a:ext>
          </a:extLst>
        </xdr:cNvPr>
        <xdr:cNvSpPr/>
      </xdr:nvSpPr>
      <xdr:spPr>
        <a:xfrm>
          <a:off x="0" y="0"/>
          <a:ext cx="2761466" cy="7905750"/>
        </a:xfrm>
        <a:prstGeom prst="rect">
          <a:avLst/>
        </a:prstGeom>
        <a:effectLst>
          <a:outerShdw blurRad="50800" dist="38100" algn="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466725</xdr:colOff>
      <xdr:row>1</xdr:row>
      <xdr:rowOff>73025</xdr:rowOff>
    </xdr:from>
    <xdr:to>
      <xdr:col>3</xdr:col>
      <xdr:colOff>327581</xdr:colOff>
      <xdr:row>4</xdr:row>
      <xdr:rowOff>6350</xdr:rowOff>
    </xdr:to>
    <xdr:sp macro="" textlink="'Summary Trend'!G4">
      <xdr:nvSpPr>
        <xdr:cNvPr id="4" name="Rectangle: Rounded Corners 3">
          <a:extLst>
            <a:ext uri="{FF2B5EF4-FFF2-40B4-BE49-F238E27FC236}">
              <a16:creationId xmlns:a16="http://schemas.microsoft.com/office/drawing/2014/main" id="{3869F671-0057-CBD8-1EBF-32002CA1241E}"/>
            </a:ext>
          </a:extLst>
        </xdr:cNvPr>
        <xdr:cNvSpPr/>
      </xdr:nvSpPr>
      <xdr:spPr>
        <a:xfrm>
          <a:off x="876300" y="263525"/>
          <a:ext cx="1937306" cy="504825"/>
        </a:xfrm>
        <a:prstGeom prst="roundRect">
          <a:avLst/>
        </a:prstGeom>
        <a:no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10095576-0E2B-4954-9D2C-167ED265AC7E}" type="TxLink">
            <a:rPr lang="en-US" sz="2400" b="0" i="0" u="none" strike="noStrike" cap="none" spc="0">
              <a:ln>
                <a:noFill/>
              </a:ln>
              <a:gradFill>
                <a:gsLst>
                  <a:gs pos="9000">
                    <a:schemeClr val="accent1">
                      <a:lumMod val="45000"/>
                      <a:lumOff val="55000"/>
                    </a:schemeClr>
                  </a:gs>
                  <a:gs pos="55000">
                    <a:schemeClr val="bg1"/>
                  </a:gs>
                </a:gsLst>
                <a:lin ang="5400000" scaled="1"/>
              </a:gradFill>
              <a:effectLst/>
              <a:latin typeface="Aptos Narrow"/>
            </a:rPr>
            <a:pPr algn="l"/>
            <a:t>2,400</a:t>
          </a:fld>
          <a:endParaRPr lang="en-GB" sz="2400" b="1">
            <a:gradFill>
              <a:gsLst>
                <a:gs pos="9000">
                  <a:schemeClr val="accent1">
                    <a:lumMod val="45000"/>
                    <a:lumOff val="55000"/>
                  </a:schemeClr>
                </a:gs>
                <a:gs pos="55000">
                  <a:schemeClr val="bg1"/>
                </a:gs>
              </a:gsLst>
              <a:lin ang="5400000" scaled="1"/>
            </a:gradFill>
          </a:endParaRPr>
        </a:p>
      </xdr:txBody>
    </xdr:sp>
    <xdr:clientData/>
  </xdr:twoCellAnchor>
  <xdr:twoCellAnchor>
    <xdr:from>
      <xdr:col>1</xdr:col>
      <xdr:colOff>609599</xdr:colOff>
      <xdr:row>15</xdr:row>
      <xdr:rowOff>25400</xdr:rowOff>
    </xdr:from>
    <xdr:to>
      <xdr:col>1</xdr:col>
      <xdr:colOff>1295400</xdr:colOff>
      <xdr:row>17</xdr:row>
      <xdr:rowOff>149225</xdr:rowOff>
    </xdr:to>
    <xdr:sp macro="" textlink="'Summary Trend'!J4">
      <xdr:nvSpPr>
        <xdr:cNvPr id="6" name="Rectangle: Rounded Corners 5">
          <a:extLst>
            <a:ext uri="{FF2B5EF4-FFF2-40B4-BE49-F238E27FC236}">
              <a16:creationId xmlns:a16="http://schemas.microsoft.com/office/drawing/2014/main" id="{759585CA-1CC2-4EE4-AFA3-323367A415D5}"/>
            </a:ext>
          </a:extLst>
        </xdr:cNvPr>
        <xdr:cNvSpPr/>
      </xdr:nvSpPr>
      <xdr:spPr>
        <a:xfrm>
          <a:off x="1019174" y="2882900"/>
          <a:ext cx="685801" cy="504825"/>
        </a:xfrm>
        <a:prstGeom prst="roundRect">
          <a:avLst/>
        </a:prstGeom>
        <a:no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marL="0" indent="0" algn="l"/>
          <a:fld id="{E906F7A8-00B0-4466-AB39-79B1C42EFBA6}" type="TxLink">
            <a:rPr lang="en-US" sz="2400" b="0" i="0" u="none" strike="noStrike" cap="none" spc="0">
              <a:ln>
                <a:noFill/>
              </a:ln>
              <a:gradFill>
                <a:gsLst>
                  <a:gs pos="9000">
                    <a:schemeClr val="accent1">
                      <a:lumMod val="45000"/>
                      <a:lumOff val="55000"/>
                    </a:schemeClr>
                  </a:gs>
                  <a:gs pos="55000">
                    <a:schemeClr val="bg1"/>
                  </a:gs>
                </a:gsLst>
                <a:lin ang="5400000" scaled="1"/>
              </a:gradFill>
              <a:effectLst/>
              <a:latin typeface="Aptos Narrow"/>
              <a:ea typeface="+mn-ea"/>
              <a:cs typeface="+mn-cs"/>
            </a:rPr>
            <a:pPr marL="0" indent="0" algn="l"/>
            <a:t>4.0</a:t>
          </a:fld>
          <a:endParaRPr lang="en-GB" sz="2400" b="0" i="0" u="none" strike="noStrike" cap="none" spc="0">
            <a:ln>
              <a:noFill/>
            </a:ln>
            <a:gradFill>
              <a:gsLst>
                <a:gs pos="9000">
                  <a:schemeClr val="accent1">
                    <a:lumMod val="45000"/>
                    <a:lumOff val="55000"/>
                  </a:schemeClr>
                </a:gs>
                <a:gs pos="55000">
                  <a:schemeClr val="bg1"/>
                </a:gs>
              </a:gsLst>
              <a:lin ang="5400000" scaled="1"/>
            </a:gradFill>
            <a:effectLst/>
            <a:latin typeface="Aptos Narrow"/>
            <a:ea typeface="+mn-ea"/>
            <a:cs typeface="+mn-cs"/>
          </a:endParaRPr>
        </a:p>
      </xdr:txBody>
    </xdr:sp>
    <xdr:clientData/>
  </xdr:twoCellAnchor>
  <xdr:twoCellAnchor>
    <xdr:from>
      <xdr:col>1</xdr:col>
      <xdr:colOff>398929</xdr:colOff>
      <xdr:row>10</xdr:row>
      <xdr:rowOff>47438</xdr:rowOff>
    </xdr:from>
    <xdr:to>
      <xdr:col>3</xdr:col>
      <xdr:colOff>259785</xdr:colOff>
      <xdr:row>12</xdr:row>
      <xdr:rowOff>171263</xdr:rowOff>
    </xdr:to>
    <xdr:sp macro="" textlink="'Summary Trend'!I4">
      <xdr:nvSpPr>
        <xdr:cNvPr id="7" name="Rectangle: Rounded Corners 6">
          <a:extLst>
            <a:ext uri="{FF2B5EF4-FFF2-40B4-BE49-F238E27FC236}">
              <a16:creationId xmlns:a16="http://schemas.microsoft.com/office/drawing/2014/main" id="{43ABF328-E7AB-4B7A-B73E-926915027CB7}"/>
            </a:ext>
          </a:extLst>
        </xdr:cNvPr>
        <xdr:cNvSpPr/>
      </xdr:nvSpPr>
      <xdr:spPr>
        <a:xfrm>
          <a:off x="813547" y="1952438"/>
          <a:ext cx="1933944" cy="504825"/>
        </a:xfrm>
        <a:prstGeom prst="roundRect">
          <a:avLst/>
        </a:prstGeom>
        <a:no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marL="0" indent="0" algn="l"/>
          <a:fld id="{7E6788D9-212A-463E-9A44-D5A2B6FF75CF}" type="TxLink">
            <a:rPr lang="en-US" sz="2400" b="1" i="0" u="none" strike="noStrike" cap="none" spc="0">
              <a:ln>
                <a:noFill/>
              </a:ln>
              <a:solidFill>
                <a:schemeClr val="bg2">
                  <a:lumMod val="75000"/>
                </a:schemeClr>
              </a:solidFill>
              <a:effectLst/>
              <a:latin typeface="Aptos Narrow"/>
              <a:ea typeface="+mn-ea"/>
              <a:cs typeface="+mn-cs"/>
            </a:rPr>
            <a:pPr marL="0" indent="0" algn="l"/>
            <a:t>$649.0k</a:t>
          </a:fld>
          <a:endParaRPr lang="en-GB" sz="2400" b="1" i="0" u="none" strike="noStrike" cap="none" spc="0">
            <a:ln>
              <a:noFill/>
            </a:ln>
            <a:solidFill>
              <a:schemeClr val="bg2">
                <a:lumMod val="75000"/>
              </a:schemeClr>
            </a:solidFill>
            <a:effectLst/>
            <a:latin typeface="Aptos Narrow"/>
            <a:ea typeface="+mn-ea"/>
            <a:cs typeface="+mn-cs"/>
          </a:endParaRPr>
        </a:p>
      </xdr:txBody>
    </xdr:sp>
    <xdr:clientData/>
  </xdr:twoCellAnchor>
  <xdr:twoCellAnchor>
    <xdr:from>
      <xdr:col>1</xdr:col>
      <xdr:colOff>457200</xdr:colOff>
      <xdr:row>5</xdr:row>
      <xdr:rowOff>152400</xdr:rowOff>
    </xdr:from>
    <xdr:to>
      <xdr:col>3</xdr:col>
      <xdr:colOff>318056</xdr:colOff>
      <xdr:row>8</xdr:row>
      <xdr:rowOff>85725</xdr:rowOff>
    </xdr:to>
    <xdr:sp macro="" textlink="'Summary Trend'!H4">
      <xdr:nvSpPr>
        <xdr:cNvPr id="8" name="Rectangle: Rounded Corners 7">
          <a:extLst>
            <a:ext uri="{FF2B5EF4-FFF2-40B4-BE49-F238E27FC236}">
              <a16:creationId xmlns:a16="http://schemas.microsoft.com/office/drawing/2014/main" id="{50CED23C-C9A7-47C1-8E59-3817EB5EA87A}"/>
            </a:ext>
          </a:extLst>
        </xdr:cNvPr>
        <xdr:cNvSpPr/>
      </xdr:nvSpPr>
      <xdr:spPr>
        <a:xfrm>
          <a:off x="866775" y="1104900"/>
          <a:ext cx="1937306" cy="504825"/>
        </a:xfrm>
        <a:prstGeom prst="roundRect">
          <a:avLst/>
        </a:prstGeom>
        <a:no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marL="0" indent="0" algn="l"/>
          <a:fld id="{EF339606-45DC-4ADB-BFE3-788F2B33AD2A}" type="TxLink">
            <a:rPr lang="en-US" sz="2400" b="0" i="0" u="none" strike="noStrike" cap="none" spc="0">
              <a:ln>
                <a:noFill/>
              </a:ln>
              <a:gradFill>
                <a:gsLst>
                  <a:gs pos="9000">
                    <a:schemeClr val="accent1">
                      <a:lumMod val="45000"/>
                      <a:lumOff val="55000"/>
                    </a:schemeClr>
                  </a:gs>
                  <a:gs pos="55000">
                    <a:schemeClr val="bg1"/>
                  </a:gs>
                </a:gsLst>
                <a:lin ang="5400000" scaled="1"/>
              </a:gradFill>
              <a:effectLst/>
              <a:latin typeface="Aptos Narrow"/>
              <a:ea typeface="+mn-ea"/>
              <a:cs typeface="+mn-cs"/>
            </a:rPr>
            <a:pPr marL="0" indent="0" algn="l"/>
            <a:t>11,997</a:t>
          </a:fld>
          <a:endParaRPr lang="en-GB" sz="2400" b="0" i="0" u="none" strike="noStrike" cap="none" spc="0">
            <a:ln>
              <a:noFill/>
            </a:ln>
            <a:gradFill>
              <a:gsLst>
                <a:gs pos="9000">
                  <a:schemeClr val="accent1">
                    <a:lumMod val="45000"/>
                    <a:lumOff val="55000"/>
                  </a:schemeClr>
                </a:gs>
                <a:gs pos="55000">
                  <a:schemeClr val="bg1"/>
                </a:gs>
              </a:gsLst>
              <a:lin ang="5400000" scaled="1"/>
            </a:gradFill>
            <a:effectLst/>
            <a:latin typeface="Aptos Narrow"/>
            <a:ea typeface="+mn-ea"/>
            <a:cs typeface="+mn-cs"/>
          </a:endParaRPr>
        </a:p>
      </xdr:txBody>
    </xdr:sp>
    <xdr:clientData/>
  </xdr:twoCellAnchor>
  <xdr:twoCellAnchor>
    <xdr:from>
      <xdr:col>3</xdr:col>
      <xdr:colOff>309843</xdr:colOff>
      <xdr:row>0</xdr:row>
      <xdr:rowOff>0</xdr:rowOff>
    </xdr:from>
    <xdr:to>
      <xdr:col>33</xdr:col>
      <xdr:colOff>527935</xdr:colOff>
      <xdr:row>41</xdr:row>
      <xdr:rowOff>95249</xdr:rowOff>
    </xdr:to>
    <xdr:sp macro="" textlink="">
      <xdr:nvSpPr>
        <xdr:cNvPr id="3" name="Rectangle 2">
          <a:extLst>
            <a:ext uri="{FF2B5EF4-FFF2-40B4-BE49-F238E27FC236}">
              <a16:creationId xmlns:a16="http://schemas.microsoft.com/office/drawing/2014/main" id="{5BCB840A-8495-4571-A5A6-BB0D9100DECA}"/>
            </a:ext>
          </a:extLst>
        </xdr:cNvPr>
        <xdr:cNvSpPr/>
      </xdr:nvSpPr>
      <xdr:spPr>
        <a:xfrm>
          <a:off x="2797549" y="0"/>
          <a:ext cx="18371621" cy="7905749"/>
        </a:xfrm>
        <a:prstGeom prst="rect">
          <a:avLst/>
        </a:prstGeom>
        <a:effectLst>
          <a:outerShdw blurRad="50800" dist="38100" algn="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xdr:col>
      <xdr:colOff>609599</xdr:colOff>
      <xdr:row>19</xdr:row>
      <xdr:rowOff>114301</xdr:rowOff>
    </xdr:from>
    <xdr:to>
      <xdr:col>3</xdr:col>
      <xdr:colOff>470455</xdr:colOff>
      <xdr:row>22</xdr:row>
      <xdr:rowOff>47626</xdr:rowOff>
    </xdr:to>
    <xdr:sp macro="" textlink="'Summary Trend'!K4">
      <xdr:nvSpPr>
        <xdr:cNvPr id="5" name="Rectangle: Rounded Corners 4">
          <a:extLst>
            <a:ext uri="{FF2B5EF4-FFF2-40B4-BE49-F238E27FC236}">
              <a16:creationId xmlns:a16="http://schemas.microsoft.com/office/drawing/2014/main" id="{6B250789-9909-43CE-9139-7EA73F138861}"/>
            </a:ext>
          </a:extLst>
        </xdr:cNvPr>
        <xdr:cNvSpPr/>
      </xdr:nvSpPr>
      <xdr:spPr>
        <a:xfrm>
          <a:off x="1019174" y="3733801"/>
          <a:ext cx="1937306" cy="504825"/>
        </a:xfrm>
        <a:prstGeom prst="roundRect">
          <a:avLst/>
        </a:prstGeom>
        <a:no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marL="0" indent="0" algn="l"/>
          <a:fld id="{626F3473-66B4-4416-84EE-5A75CCC47EED}" type="TxLink">
            <a:rPr lang="en-US" sz="2400" b="0" i="0" u="none" strike="noStrike" cap="none" spc="0">
              <a:ln>
                <a:noFill/>
              </a:ln>
              <a:gradFill>
                <a:gsLst>
                  <a:gs pos="9000">
                    <a:schemeClr val="accent1">
                      <a:lumMod val="45000"/>
                      <a:lumOff val="55000"/>
                    </a:schemeClr>
                  </a:gs>
                  <a:gs pos="55000">
                    <a:schemeClr val="bg1"/>
                  </a:gs>
                </a:gsLst>
                <a:lin ang="5400000" scaled="1"/>
              </a:gradFill>
              <a:effectLst/>
              <a:latin typeface="Aptos Narrow"/>
              <a:ea typeface="+mn-ea"/>
              <a:cs typeface="+mn-cs"/>
            </a:rPr>
            <a:pPr marL="0" indent="0" algn="l"/>
            <a:t>2.3</a:t>
          </a:fld>
          <a:endParaRPr lang="en-GB" sz="2400" b="0" i="0" u="none" strike="noStrike" cap="none" spc="0">
            <a:ln>
              <a:noFill/>
            </a:ln>
            <a:gradFill>
              <a:gsLst>
                <a:gs pos="9000">
                  <a:schemeClr val="accent1">
                    <a:lumMod val="45000"/>
                    <a:lumOff val="55000"/>
                  </a:schemeClr>
                </a:gs>
                <a:gs pos="55000">
                  <a:schemeClr val="bg1"/>
                </a:gs>
              </a:gsLst>
              <a:lin ang="5400000" scaled="1"/>
            </a:gradFill>
            <a:effectLst/>
            <a:latin typeface="Aptos Narrow"/>
            <a:ea typeface="+mn-ea"/>
            <a:cs typeface="+mn-cs"/>
          </a:endParaRPr>
        </a:p>
      </xdr:txBody>
    </xdr:sp>
    <xdr:clientData/>
  </xdr:twoCellAnchor>
  <xdr:twoCellAnchor>
    <xdr:from>
      <xdr:col>1</xdr:col>
      <xdr:colOff>38100</xdr:colOff>
      <xdr:row>17</xdr:row>
      <xdr:rowOff>184150</xdr:rowOff>
    </xdr:from>
    <xdr:to>
      <xdr:col>2</xdr:col>
      <xdr:colOff>571501</xdr:colOff>
      <xdr:row>20</xdr:row>
      <xdr:rowOff>117475</xdr:rowOff>
    </xdr:to>
    <xdr:sp macro="" textlink="">
      <xdr:nvSpPr>
        <xdr:cNvPr id="10" name="Rectangle: Rounded Corners 9">
          <a:extLst>
            <a:ext uri="{FF2B5EF4-FFF2-40B4-BE49-F238E27FC236}">
              <a16:creationId xmlns:a16="http://schemas.microsoft.com/office/drawing/2014/main" id="{505918D6-D5B7-4CB0-BDF0-A5056F6855B9}"/>
            </a:ext>
          </a:extLst>
        </xdr:cNvPr>
        <xdr:cNvSpPr/>
      </xdr:nvSpPr>
      <xdr:spPr>
        <a:xfrm>
          <a:off x="447675" y="3422650"/>
          <a:ext cx="1914526" cy="504825"/>
        </a:xfrm>
        <a:prstGeom prst="roundRect">
          <a:avLst/>
        </a:prstGeom>
        <a:no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GB" sz="1800" b="0" i="0" u="none" strike="noStrike">
              <a:solidFill>
                <a:srgbClr val="FF0000"/>
              </a:solidFill>
              <a:latin typeface="Aptos Narrow"/>
            </a:rPr>
            <a:t>🗓️</a:t>
          </a:r>
          <a:r>
            <a:rPr lang="en-GB" sz="1800" b="0" i="0" u="none" strike="noStrike">
              <a:gradFill>
                <a:gsLst>
                  <a:gs pos="100000">
                    <a:schemeClr val="accent1">
                      <a:lumMod val="45000"/>
                      <a:lumOff val="55000"/>
                    </a:schemeClr>
                  </a:gs>
                  <a:gs pos="0">
                    <a:schemeClr val="bg1">
                      <a:alpha val="0"/>
                      <a:lumMod val="0"/>
                      <a:lumOff val="100000"/>
                    </a:schemeClr>
                  </a:gs>
                </a:gsLst>
                <a:lin ang="5400000" scaled="1"/>
              </a:gradFill>
              <a:latin typeface="Aptos Narrow"/>
              <a:ea typeface="+mn-ea"/>
              <a:cs typeface="+mn-cs"/>
            </a:rPr>
            <a:t>Days</a:t>
          </a:r>
          <a:r>
            <a:rPr lang="en-GB" sz="1800" b="0" i="0" u="none" strike="noStrike" baseline="0">
              <a:gradFill>
                <a:gsLst>
                  <a:gs pos="9000">
                    <a:schemeClr val="accent1">
                      <a:lumMod val="45000"/>
                      <a:lumOff val="55000"/>
                    </a:schemeClr>
                  </a:gs>
                  <a:gs pos="55000">
                    <a:schemeClr val="bg1"/>
                  </a:gs>
                </a:gsLst>
                <a:lin ang="5400000" scaled="1"/>
              </a:gradFill>
              <a:latin typeface="Aptos Narrow"/>
            </a:rPr>
            <a:t> </a:t>
          </a:r>
          <a:r>
            <a:rPr lang="en-GB" sz="1800" b="0" i="0" u="none" strike="noStrike">
              <a:gradFill>
                <a:gsLst>
                  <a:gs pos="100000">
                    <a:schemeClr val="accent1">
                      <a:lumMod val="45000"/>
                      <a:lumOff val="55000"/>
                    </a:schemeClr>
                  </a:gs>
                  <a:gs pos="0">
                    <a:schemeClr val="bg1">
                      <a:alpha val="0"/>
                      <a:lumMod val="0"/>
                      <a:lumOff val="100000"/>
                    </a:schemeClr>
                  </a:gs>
                </a:gsLst>
                <a:lin ang="5400000" scaled="1"/>
              </a:gradFill>
              <a:latin typeface="Aptos Narrow"/>
              <a:ea typeface="+mn-ea"/>
              <a:cs typeface="+mn-cs"/>
            </a:rPr>
            <a:t>to</a:t>
          </a:r>
          <a:r>
            <a:rPr lang="en-GB" sz="1800" b="0" i="0" u="none" strike="noStrike" baseline="0">
              <a:gradFill>
                <a:gsLst>
                  <a:gs pos="9000">
                    <a:schemeClr val="accent1">
                      <a:lumMod val="45000"/>
                      <a:lumOff val="55000"/>
                    </a:schemeClr>
                  </a:gs>
                  <a:gs pos="55000">
                    <a:schemeClr val="bg1"/>
                  </a:gs>
                </a:gsLst>
                <a:lin ang="5400000" scaled="1"/>
              </a:gradFill>
              <a:latin typeface="Aptos Narrow"/>
            </a:rPr>
            <a:t> </a:t>
          </a:r>
          <a:r>
            <a:rPr lang="en-GB" sz="1800" b="0" i="0" u="none" strike="noStrike">
              <a:gradFill>
                <a:gsLst>
                  <a:gs pos="100000">
                    <a:schemeClr val="accent1">
                      <a:lumMod val="45000"/>
                      <a:lumOff val="55000"/>
                    </a:schemeClr>
                  </a:gs>
                  <a:gs pos="0">
                    <a:schemeClr val="bg1">
                      <a:alpha val="0"/>
                      <a:lumMod val="0"/>
                      <a:lumOff val="100000"/>
                    </a:schemeClr>
                  </a:gs>
                </a:gsLst>
                <a:lin ang="5400000" scaled="1"/>
              </a:gradFill>
              <a:latin typeface="Aptos Narrow"/>
              <a:ea typeface="+mn-ea"/>
              <a:cs typeface="+mn-cs"/>
            </a:rPr>
            <a:t>Deliver</a:t>
          </a:r>
          <a:endParaRPr lang="en-US" sz="1800" b="0" i="0" u="none" strike="noStrike">
            <a:gradFill>
              <a:gsLst>
                <a:gs pos="100000">
                  <a:schemeClr val="accent1">
                    <a:lumMod val="45000"/>
                    <a:lumOff val="55000"/>
                  </a:schemeClr>
                </a:gs>
                <a:gs pos="0">
                  <a:schemeClr val="bg1">
                    <a:alpha val="0"/>
                    <a:lumMod val="0"/>
                    <a:lumOff val="100000"/>
                  </a:schemeClr>
                </a:gs>
              </a:gsLst>
              <a:lin ang="5400000" scaled="1"/>
            </a:gradFill>
            <a:latin typeface="Aptos Narrow"/>
            <a:ea typeface="+mn-ea"/>
            <a:cs typeface="+mn-cs"/>
          </a:endParaRPr>
        </a:p>
      </xdr:txBody>
    </xdr:sp>
    <xdr:clientData/>
  </xdr:twoCellAnchor>
  <xdr:twoCellAnchor>
    <xdr:from>
      <xdr:col>1</xdr:col>
      <xdr:colOff>247650</xdr:colOff>
      <xdr:row>4</xdr:row>
      <xdr:rowOff>31750</xdr:rowOff>
    </xdr:from>
    <xdr:to>
      <xdr:col>3</xdr:col>
      <xdr:colOff>108506</xdr:colOff>
      <xdr:row>6</xdr:row>
      <xdr:rowOff>155575</xdr:rowOff>
    </xdr:to>
    <xdr:sp macro="" textlink="">
      <xdr:nvSpPr>
        <xdr:cNvPr id="14" name="Rectangle: Rounded Corners 13">
          <a:extLst>
            <a:ext uri="{FF2B5EF4-FFF2-40B4-BE49-F238E27FC236}">
              <a16:creationId xmlns:a16="http://schemas.microsoft.com/office/drawing/2014/main" id="{08A8E401-F459-420B-AD12-4DBF7B482F47}"/>
            </a:ext>
          </a:extLst>
        </xdr:cNvPr>
        <xdr:cNvSpPr/>
      </xdr:nvSpPr>
      <xdr:spPr>
        <a:xfrm>
          <a:off x="657225" y="793750"/>
          <a:ext cx="1937306" cy="504825"/>
        </a:xfrm>
        <a:prstGeom prst="roundRect">
          <a:avLst/>
        </a:prstGeom>
        <a:no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GB" sz="1800" b="0" i="0" u="none" strike="noStrike">
              <a:solidFill>
                <a:srgbClr val="FF0000"/>
              </a:solidFill>
              <a:latin typeface="Aptos Narrow"/>
            </a:rPr>
            <a:t>🛍️</a:t>
          </a:r>
          <a:r>
            <a:rPr lang="en-GB" sz="1800" b="0" i="0" u="none" strike="noStrike">
              <a:gradFill>
                <a:gsLst>
                  <a:gs pos="100000">
                    <a:schemeClr val="accent1">
                      <a:lumMod val="45000"/>
                      <a:lumOff val="55000"/>
                    </a:schemeClr>
                  </a:gs>
                  <a:gs pos="0">
                    <a:schemeClr val="bg1">
                      <a:alpha val="0"/>
                      <a:lumMod val="0"/>
                      <a:lumOff val="100000"/>
                    </a:schemeClr>
                  </a:gs>
                </a:gsLst>
                <a:lin ang="5400000" scaled="1"/>
              </a:gradFill>
              <a:latin typeface="Aptos Narrow"/>
              <a:ea typeface="+mn-ea"/>
              <a:cs typeface="+mn-cs"/>
            </a:rPr>
            <a:t>Quantity</a:t>
          </a:r>
          <a:endParaRPr lang="en-US" sz="1800" b="0" i="0" u="none" strike="noStrike">
            <a:gradFill>
              <a:gsLst>
                <a:gs pos="100000">
                  <a:schemeClr val="accent1">
                    <a:lumMod val="45000"/>
                    <a:lumOff val="55000"/>
                  </a:schemeClr>
                </a:gs>
                <a:gs pos="0">
                  <a:schemeClr val="bg1">
                    <a:alpha val="0"/>
                    <a:lumMod val="0"/>
                    <a:lumOff val="100000"/>
                  </a:schemeClr>
                </a:gs>
              </a:gsLst>
              <a:lin ang="5400000" scaled="1"/>
            </a:gradFill>
            <a:latin typeface="Aptos Narrow"/>
            <a:ea typeface="+mn-ea"/>
            <a:cs typeface="+mn-cs"/>
          </a:endParaRPr>
        </a:p>
      </xdr:txBody>
    </xdr:sp>
    <xdr:clientData/>
  </xdr:twoCellAnchor>
  <xdr:twoCellAnchor>
    <xdr:from>
      <xdr:col>1</xdr:col>
      <xdr:colOff>247649</xdr:colOff>
      <xdr:row>0</xdr:row>
      <xdr:rowOff>9525</xdr:rowOff>
    </xdr:from>
    <xdr:to>
      <xdr:col>2</xdr:col>
      <xdr:colOff>38099</xdr:colOff>
      <xdr:row>2</xdr:row>
      <xdr:rowOff>38100</xdr:rowOff>
    </xdr:to>
    <xdr:sp macro="" textlink="">
      <xdr:nvSpPr>
        <xdr:cNvPr id="15" name="Rectangle: Rounded Corners 14">
          <a:extLst>
            <a:ext uri="{FF2B5EF4-FFF2-40B4-BE49-F238E27FC236}">
              <a16:creationId xmlns:a16="http://schemas.microsoft.com/office/drawing/2014/main" id="{F70848D9-8203-48E4-8F95-8B85B74BDFE6}"/>
            </a:ext>
          </a:extLst>
        </xdr:cNvPr>
        <xdr:cNvSpPr/>
      </xdr:nvSpPr>
      <xdr:spPr>
        <a:xfrm>
          <a:off x="657224" y="9525"/>
          <a:ext cx="1171575" cy="409575"/>
        </a:xfrm>
        <a:prstGeom prst="roundRect">
          <a:avLst/>
        </a:prstGeom>
        <a:no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GB" sz="1800" b="0" i="0" u="none" strike="noStrike">
              <a:solidFill>
                <a:srgbClr val="FF0000"/>
              </a:solidFill>
              <a:latin typeface="Aptos Narrow"/>
            </a:rPr>
            <a:t>🛒</a:t>
          </a:r>
          <a:r>
            <a:rPr lang="en-US" sz="1800" b="0" i="0" u="none" strike="noStrike">
              <a:gradFill>
                <a:gsLst>
                  <a:gs pos="100000">
                    <a:schemeClr val="accent1">
                      <a:lumMod val="45000"/>
                      <a:lumOff val="55000"/>
                    </a:schemeClr>
                  </a:gs>
                  <a:gs pos="0">
                    <a:schemeClr val="bg1">
                      <a:alpha val="0"/>
                      <a:lumMod val="0"/>
                      <a:lumOff val="100000"/>
                    </a:schemeClr>
                  </a:gs>
                </a:gsLst>
                <a:lin ang="5400000" scaled="1"/>
              </a:gradFill>
              <a:latin typeface="Aptos Narrow"/>
              <a:ea typeface="+mn-ea"/>
              <a:cs typeface="+mn-cs"/>
            </a:rPr>
            <a:t>Orders</a:t>
          </a:r>
        </a:p>
      </xdr:txBody>
    </xdr:sp>
    <xdr:clientData/>
  </xdr:twoCellAnchor>
  <xdr:twoCellAnchor>
    <xdr:from>
      <xdr:col>1</xdr:col>
      <xdr:colOff>114300</xdr:colOff>
      <xdr:row>13</xdr:row>
      <xdr:rowOff>114300</xdr:rowOff>
    </xdr:from>
    <xdr:to>
      <xdr:col>2</xdr:col>
      <xdr:colOff>333376</xdr:colOff>
      <xdr:row>16</xdr:row>
      <xdr:rowOff>47625</xdr:rowOff>
    </xdr:to>
    <xdr:sp macro="" textlink="">
      <xdr:nvSpPr>
        <xdr:cNvPr id="16" name="Rectangle: Rounded Corners 15">
          <a:extLst>
            <a:ext uri="{FF2B5EF4-FFF2-40B4-BE49-F238E27FC236}">
              <a16:creationId xmlns:a16="http://schemas.microsoft.com/office/drawing/2014/main" id="{A13EFE04-E71B-4621-B6CC-C9D46B8D71A2}"/>
            </a:ext>
          </a:extLst>
        </xdr:cNvPr>
        <xdr:cNvSpPr/>
      </xdr:nvSpPr>
      <xdr:spPr>
        <a:xfrm>
          <a:off x="523875" y="2590800"/>
          <a:ext cx="1600201" cy="504825"/>
        </a:xfrm>
        <a:prstGeom prst="roundRect">
          <a:avLst/>
        </a:prstGeom>
        <a:no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GB" sz="1800" b="0" i="0" u="none" strike="noStrike">
              <a:solidFill>
                <a:srgbClr val="FFC000"/>
              </a:solidFill>
              <a:latin typeface="Aptos Narrow"/>
            </a:rPr>
            <a:t>⭐</a:t>
          </a:r>
          <a:r>
            <a:rPr lang="en-US" sz="1800" b="0" i="0" u="none" strike="noStrike">
              <a:gradFill>
                <a:gsLst>
                  <a:gs pos="100000">
                    <a:schemeClr val="accent1">
                      <a:lumMod val="45000"/>
                      <a:lumOff val="55000"/>
                    </a:schemeClr>
                  </a:gs>
                  <a:gs pos="0">
                    <a:schemeClr val="bg1">
                      <a:alpha val="0"/>
                      <a:lumMod val="0"/>
                      <a:lumOff val="100000"/>
                    </a:schemeClr>
                  </a:gs>
                </a:gsLst>
                <a:lin ang="5400000" scaled="1"/>
              </a:gradFill>
              <a:latin typeface="Aptos Narrow"/>
            </a:rPr>
            <a:t>Avg. Rating</a:t>
          </a:r>
        </a:p>
      </xdr:txBody>
    </xdr:sp>
    <xdr:clientData/>
  </xdr:twoCellAnchor>
  <xdr:twoCellAnchor>
    <xdr:from>
      <xdr:col>1</xdr:col>
      <xdr:colOff>228600</xdr:colOff>
      <xdr:row>8</xdr:row>
      <xdr:rowOff>149225</xdr:rowOff>
    </xdr:from>
    <xdr:to>
      <xdr:col>3</xdr:col>
      <xdr:colOff>89456</xdr:colOff>
      <xdr:row>11</xdr:row>
      <xdr:rowOff>82550</xdr:rowOff>
    </xdr:to>
    <xdr:sp macro="" textlink="">
      <xdr:nvSpPr>
        <xdr:cNvPr id="17" name="Rectangle: Rounded Corners 16">
          <a:extLst>
            <a:ext uri="{FF2B5EF4-FFF2-40B4-BE49-F238E27FC236}">
              <a16:creationId xmlns:a16="http://schemas.microsoft.com/office/drawing/2014/main" id="{8D6172F3-2E99-4B2A-9FFA-6D63E48965F5}"/>
            </a:ext>
          </a:extLst>
        </xdr:cNvPr>
        <xdr:cNvSpPr/>
      </xdr:nvSpPr>
      <xdr:spPr>
        <a:xfrm>
          <a:off x="638175" y="1673225"/>
          <a:ext cx="1937306" cy="504825"/>
        </a:xfrm>
        <a:prstGeom prst="roundRect">
          <a:avLst/>
        </a:prstGeom>
        <a:no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GB" sz="1800" b="0" i="0" u="none" strike="noStrike">
              <a:solidFill>
                <a:srgbClr val="FFC000"/>
              </a:solidFill>
              <a:latin typeface="Aptos Narrow"/>
            </a:rPr>
            <a:t>💰</a:t>
          </a:r>
          <a:r>
            <a:rPr lang="en-US" sz="1800" b="0" i="0" u="none" strike="noStrike">
              <a:gradFill>
                <a:gsLst>
                  <a:gs pos="100000">
                    <a:schemeClr val="accent1">
                      <a:lumMod val="45000"/>
                      <a:lumOff val="55000"/>
                    </a:schemeClr>
                  </a:gs>
                  <a:gs pos="0">
                    <a:schemeClr val="bg1">
                      <a:alpha val="0"/>
                      <a:lumMod val="0"/>
                      <a:lumOff val="100000"/>
                    </a:schemeClr>
                  </a:gs>
                </a:gsLst>
                <a:lin ang="5400000" scaled="1"/>
              </a:gradFill>
              <a:latin typeface="Aptos Narrow"/>
              <a:ea typeface="+mn-ea"/>
              <a:cs typeface="+mn-cs"/>
            </a:rPr>
            <a:t>Amount</a:t>
          </a:r>
        </a:p>
      </xdr:txBody>
    </xdr:sp>
    <xdr:clientData/>
  </xdr:twoCellAnchor>
  <xdr:twoCellAnchor>
    <xdr:from>
      <xdr:col>13</xdr:col>
      <xdr:colOff>481854</xdr:colOff>
      <xdr:row>0</xdr:row>
      <xdr:rowOff>88527</xdr:rowOff>
    </xdr:from>
    <xdr:to>
      <xdr:col>22</xdr:col>
      <xdr:colOff>403973</xdr:colOff>
      <xdr:row>14</xdr:row>
      <xdr:rowOff>11207</xdr:rowOff>
    </xdr:to>
    <xdr:sp macro="" textlink="">
      <xdr:nvSpPr>
        <xdr:cNvPr id="51" name="Rectangle 50">
          <a:extLst>
            <a:ext uri="{FF2B5EF4-FFF2-40B4-BE49-F238E27FC236}">
              <a16:creationId xmlns:a16="http://schemas.microsoft.com/office/drawing/2014/main" id="{F0332962-D1DF-4A7E-59F4-5FE933E09963}"/>
            </a:ext>
          </a:extLst>
        </xdr:cNvPr>
        <xdr:cNvSpPr/>
      </xdr:nvSpPr>
      <xdr:spPr>
        <a:xfrm>
          <a:off x="9020736" y="88527"/>
          <a:ext cx="5368178" cy="258968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GB" sz="1400" b="1"/>
            <a:t>How they like to buy?</a:t>
          </a:r>
        </a:p>
      </xdr:txBody>
    </xdr:sp>
    <xdr:clientData/>
  </xdr:twoCellAnchor>
  <xdr:twoCellAnchor>
    <xdr:from>
      <xdr:col>3</xdr:col>
      <xdr:colOff>586068</xdr:colOff>
      <xdr:row>0</xdr:row>
      <xdr:rowOff>96932</xdr:rowOff>
    </xdr:from>
    <xdr:to>
      <xdr:col>13</xdr:col>
      <xdr:colOff>313766</xdr:colOff>
      <xdr:row>14</xdr:row>
      <xdr:rowOff>44824</xdr:rowOff>
    </xdr:to>
    <xdr:graphicFrame macro="">
      <xdr:nvGraphicFramePr>
        <xdr:cNvPr id="48" name="Chart 47">
          <a:extLst>
            <a:ext uri="{FF2B5EF4-FFF2-40B4-BE49-F238E27FC236}">
              <a16:creationId xmlns:a16="http://schemas.microsoft.com/office/drawing/2014/main" id="{912F4640-BEA8-490F-ADF8-191943FA7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311583</xdr:colOff>
          <xdr:row>2</xdr:row>
          <xdr:rowOff>29132</xdr:rowOff>
        </xdr:from>
        <xdr:to>
          <xdr:col>22</xdr:col>
          <xdr:colOff>44824</xdr:colOff>
          <xdr:row>13</xdr:row>
          <xdr:rowOff>171011</xdr:rowOff>
        </xdr:to>
        <xdr:pic>
          <xdr:nvPicPr>
            <xdr:cNvPr id="50" name="Picture 49">
              <a:extLst>
                <a:ext uri="{FF2B5EF4-FFF2-40B4-BE49-F238E27FC236}">
                  <a16:creationId xmlns:a16="http://schemas.microsoft.com/office/drawing/2014/main" id="{5A9A4782-6146-D659-9441-863F4CDDD8F2}"/>
                </a:ext>
              </a:extLst>
            </xdr:cNvPr>
            <xdr:cNvPicPr>
              <a:picLocks noChangeAspect="1" noChangeArrowheads="1"/>
              <a:extLst>
                <a:ext uri="{84589F7E-364E-4C9E-8A38-B11213B215E9}">
                  <a14:cameraTool cellRange="'Channel Analysis'!$I$4:$M$9" spid="_x0000_s5148"/>
                </a:ext>
              </a:extLst>
            </xdr:cNvPicPr>
          </xdr:nvPicPr>
          <xdr:blipFill>
            <a:blip xmlns:r="http://schemas.openxmlformats.org/officeDocument/2006/relationships" r:embed="rId2"/>
            <a:srcRect/>
            <a:stretch>
              <a:fillRect/>
            </a:stretch>
          </xdr:blipFill>
          <xdr:spPr bwMode="auto">
            <a:xfrm>
              <a:off x="9455583" y="410132"/>
              <a:ext cx="4574182" cy="223737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23</xdr:col>
      <xdr:colOff>122705</xdr:colOff>
      <xdr:row>0</xdr:row>
      <xdr:rowOff>72839</xdr:rowOff>
    </xdr:from>
    <xdr:to>
      <xdr:col>30</xdr:col>
      <xdr:colOff>515470</xdr:colOff>
      <xdr:row>12</xdr:row>
      <xdr:rowOff>100853</xdr:rowOff>
    </xdr:to>
    <xdr:graphicFrame macro="">
      <xdr:nvGraphicFramePr>
        <xdr:cNvPr id="52" name="Chart 51">
          <a:extLst>
            <a:ext uri="{FF2B5EF4-FFF2-40B4-BE49-F238E27FC236}">
              <a16:creationId xmlns:a16="http://schemas.microsoft.com/office/drawing/2014/main" id="{AEE5B07D-7EAA-4FA4-8E0B-4C376345D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78442</xdr:colOff>
      <xdr:row>15</xdr:row>
      <xdr:rowOff>78440</xdr:rowOff>
    </xdr:from>
    <xdr:to>
      <xdr:col>13</xdr:col>
      <xdr:colOff>201706</xdr:colOff>
      <xdr:row>40</xdr:row>
      <xdr:rowOff>11205</xdr:rowOff>
    </xdr:to>
    <xdr:graphicFrame macro="">
      <xdr:nvGraphicFramePr>
        <xdr:cNvPr id="53" name="Chart 52">
          <a:extLst>
            <a:ext uri="{FF2B5EF4-FFF2-40B4-BE49-F238E27FC236}">
              <a16:creationId xmlns:a16="http://schemas.microsoft.com/office/drawing/2014/main" id="{D6FED7C2-3424-41EE-8932-ABCE51657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536761</xdr:colOff>
      <xdr:row>28</xdr:row>
      <xdr:rowOff>113740</xdr:rowOff>
    </xdr:from>
    <xdr:to>
      <xdr:col>10</xdr:col>
      <xdr:colOff>257735</xdr:colOff>
      <xdr:row>39</xdr:row>
      <xdr:rowOff>22412</xdr:rowOff>
    </xdr:to>
    <xdr:graphicFrame macro="">
      <xdr:nvGraphicFramePr>
        <xdr:cNvPr id="56" name="Chart 55">
          <a:extLst>
            <a:ext uri="{FF2B5EF4-FFF2-40B4-BE49-F238E27FC236}">
              <a16:creationId xmlns:a16="http://schemas.microsoft.com/office/drawing/2014/main" id="{095D7D7F-1762-40D5-B0F5-C9A7A74C8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515470</xdr:colOff>
      <xdr:row>15</xdr:row>
      <xdr:rowOff>67234</xdr:rowOff>
    </xdr:from>
    <xdr:to>
      <xdr:col>22</xdr:col>
      <xdr:colOff>487456</xdr:colOff>
      <xdr:row>40</xdr:row>
      <xdr:rowOff>33617</xdr:rowOff>
    </xdr:to>
    <mc:AlternateContent xmlns:mc="http://schemas.openxmlformats.org/markup-compatibility/2006">
      <mc:Choice xmlns:cx4="http://schemas.microsoft.com/office/drawing/2016/5/10/chartex" Requires="cx4">
        <xdr:graphicFrame macro="">
          <xdr:nvGraphicFramePr>
            <xdr:cNvPr id="57" name="Chart 56">
              <a:extLst>
                <a:ext uri="{FF2B5EF4-FFF2-40B4-BE49-F238E27FC236}">
                  <a16:creationId xmlns:a16="http://schemas.microsoft.com/office/drawing/2014/main" id="{347BCE6D-CFDF-4300-BD7A-172BFE9DB0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097495" y="2924734"/>
              <a:ext cx="5458386" cy="472888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246528</xdr:colOff>
      <xdr:row>18</xdr:row>
      <xdr:rowOff>156880</xdr:rowOff>
    </xdr:from>
    <xdr:to>
      <xdr:col>22</xdr:col>
      <xdr:colOff>425822</xdr:colOff>
      <xdr:row>30</xdr:row>
      <xdr:rowOff>123263</xdr:rowOff>
    </xdr:to>
    <mc:AlternateContent xmlns:mc="http://schemas.openxmlformats.org/markup-compatibility/2006">
      <mc:Choice xmlns:cx4="http://schemas.microsoft.com/office/drawing/2016/5/10/chartex" Requires="cx4">
        <xdr:graphicFrame macro="">
          <xdr:nvGraphicFramePr>
            <xdr:cNvPr id="58" name="Chart 57">
              <a:extLst>
                <a:ext uri="{FF2B5EF4-FFF2-40B4-BE49-F238E27FC236}">
                  <a16:creationId xmlns:a16="http://schemas.microsoft.com/office/drawing/2014/main" id="{B8D7F3E0-7C76-4B68-917E-5D3C93F771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486153" y="3585880"/>
              <a:ext cx="2008094" cy="225238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112058</xdr:colOff>
      <xdr:row>13</xdr:row>
      <xdr:rowOff>56029</xdr:rowOff>
    </xdr:from>
    <xdr:to>
      <xdr:col>30</xdr:col>
      <xdr:colOff>537883</xdr:colOff>
      <xdr:row>25</xdr:row>
      <xdr:rowOff>44824</xdr:rowOff>
    </xdr:to>
    <xdr:graphicFrame macro="">
      <xdr:nvGraphicFramePr>
        <xdr:cNvPr id="59" name="Chart 58">
          <a:extLst>
            <a:ext uri="{FF2B5EF4-FFF2-40B4-BE49-F238E27FC236}">
              <a16:creationId xmlns:a16="http://schemas.microsoft.com/office/drawing/2014/main" id="{F6319EDF-D8FF-4782-B314-98860108D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125505</xdr:colOff>
      <xdr:row>25</xdr:row>
      <xdr:rowOff>179294</xdr:rowOff>
    </xdr:from>
    <xdr:to>
      <xdr:col>30</xdr:col>
      <xdr:colOff>493059</xdr:colOff>
      <xdr:row>39</xdr:row>
      <xdr:rowOff>168087</xdr:rowOff>
    </xdr:to>
    <xdr:graphicFrame macro="">
      <xdr:nvGraphicFramePr>
        <xdr:cNvPr id="60" name="Chart 59">
          <a:extLst>
            <a:ext uri="{FF2B5EF4-FFF2-40B4-BE49-F238E27FC236}">
              <a16:creationId xmlns:a16="http://schemas.microsoft.com/office/drawing/2014/main" id="{3B6AF541-756D-4A45-9EB9-8FC9E48D3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168088</xdr:colOff>
      <xdr:row>32</xdr:row>
      <xdr:rowOff>140075</xdr:rowOff>
    </xdr:from>
    <xdr:to>
      <xdr:col>2</xdr:col>
      <xdr:colOff>401170</xdr:colOff>
      <xdr:row>41</xdr:row>
      <xdr:rowOff>16249</xdr:rowOff>
    </xdr:to>
    <mc:AlternateContent xmlns:mc="http://schemas.openxmlformats.org/markup-compatibility/2006" xmlns:a14="http://schemas.microsoft.com/office/drawing/2010/main">
      <mc:Choice Requires="a14">
        <xdr:graphicFrame macro="">
          <xdr:nvGraphicFramePr>
            <xdr:cNvPr id="61" name="Gender Value">
              <a:extLst>
                <a:ext uri="{FF2B5EF4-FFF2-40B4-BE49-F238E27FC236}">
                  <a16:creationId xmlns:a16="http://schemas.microsoft.com/office/drawing/2014/main" id="{D96660D0-3EAB-4929-8361-3DAF6F047A2D}"/>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582706" y="6236075"/>
              <a:ext cx="1611405" cy="15906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179294</xdr:colOff>
      <xdr:row>22</xdr:row>
      <xdr:rowOff>42583</xdr:rowOff>
    </xdr:from>
    <xdr:to>
      <xdr:col>2</xdr:col>
      <xdr:colOff>410696</xdr:colOff>
      <xdr:row>31</xdr:row>
      <xdr:rowOff>128309</xdr:rowOff>
    </xdr:to>
    <mc:AlternateContent xmlns:mc="http://schemas.openxmlformats.org/markup-compatibility/2006" xmlns:a14="http://schemas.microsoft.com/office/drawing/2010/main">
      <mc:Choice Requires="a14">
        <xdr:graphicFrame macro="">
          <xdr:nvGraphicFramePr>
            <xdr:cNvPr id="62" name="Order Mode">
              <a:extLst>
                <a:ext uri="{FF2B5EF4-FFF2-40B4-BE49-F238E27FC236}">
                  <a16:creationId xmlns:a16="http://schemas.microsoft.com/office/drawing/2014/main" id="{1D2FAF5E-9B16-4AF0-9514-C20861E07A9F}"/>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593912" y="4233583"/>
              <a:ext cx="1609725" cy="18002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65.519576967592" createdVersion="8" refreshedVersion="8" minRefreshableVersion="3" recordCount="2401" xr:uid="{AA5FE85F-BA28-4210-9D7A-EB0DC2223CC1}">
  <cacheSource type="worksheet">
    <worksheetSource ref="A1:O1048576" sheet="Data"/>
  </cacheSource>
  <cacheFields count="18">
    <cacheField name="TX ID" numFmtId="0">
      <sharedItems containsBlank="1"/>
    </cacheField>
    <cacheField name="Product" numFmtId="0">
      <sharedItems containsBlank="1" count="21">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m/>
      </sharedItems>
    </cacheField>
    <cacheField name="Quantity" numFmtId="0">
      <sharedItems containsString="0" containsBlank="1" containsNumber="1" containsInteger="1" minValue="1" maxValue="87" count="49">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m/>
      </sharedItems>
      <fieldGroup par="15"/>
    </cacheField>
    <cacheField name="Unit Price" numFmtId="0">
      <sharedItems containsString="0" containsBlank="1" containsNumber="1" minValue="10.199999999999999" maxValue="234.7"/>
    </cacheField>
    <cacheField name="Amount" numFmtId="0">
      <sharedItems containsString="0" containsBlank="1" containsNumber="1" minValue="10.9" maxValue="7446.6"/>
    </cacheField>
    <cacheField name="Order Date" numFmtId="0">
      <sharedItems containsNonDate="0" containsDate="1" containsString="0" containsBlank="1" minDate="2025-01-01T00:00:00" maxDate="2025-03-30T00:00:00" count="89">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m/>
      </sharedItems>
      <fieldGroup par="17"/>
    </cacheField>
    <cacheField name="Ship Date" numFmtId="0">
      <sharedItems containsNonDate="0" containsDate="1" containsString="0" containsBlank="1" minDate="2025-01-02T00:00:00" maxDate="2025-04-11T00:00:00"/>
    </cacheField>
    <cacheField name="Customer Gender" numFmtId="0">
      <sharedItems containsBlank="1"/>
    </cacheField>
    <cacheField name="Order Mode" numFmtId="0">
      <sharedItems containsBlank="1" count="6">
        <s v="App"/>
        <s v="Website"/>
        <s v="Target.com"/>
        <s v="Instagram"/>
        <s v="Partner App"/>
        <m/>
      </sharedItems>
    </cacheField>
    <cacheField name="Rating C" numFmtId="0">
      <sharedItems containsString="0" containsBlank="1" containsNumber="1" containsInteger="1" minValue="1" maxValue="5" count="6">
        <n v="4"/>
        <n v="3"/>
        <n v="5"/>
        <n v="1"/>
        <n v="2"/>
        <m/>
      </sharedItems>
    </cacheField>
    <cacheField name="State" numFmtId="0">
      <sharedItems containsBlank="1" count="2">
        <s v="California"/>
        <m/>
      </sharedItems>
    </cacheField>
    <cacheField name="County" numFmtId="0">
      <sharedItems containsBlank="1" count="59">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m/>
      </sharedItems>
    </cacheField>
    <cacheField name="Days to Deliver" numFmtId="0">
      <sharedItems containsString="0" containsBlank="1" containsNumber="1" containsInteger="1" minValue="0" maxValue="14" count="16">
        <n v="5"/>
        <n v="2"/>
        <n v="3"/>
        <n v="1"/>
        <n v="6"/>
        <n v="4"/>
        <n v="7"/>
        <n v="0"/>
        <n v="9"/>
        <n v="8"/>
        <n v="13"/>
        <n v="11"/>
        <n v="14"/>
        <n v="12"/>
        <n v="10"/>
        <m/>
      </sharedItems>
    </cacheField>
    <cacheField name="Weeknum" numFmtId="0">
      <sharedItems containsString="0" containsBlank="1" containsNumber="1" containsInteger="1" minValue="1" maxValue="13" count="14">
        <n v="1"/>
        <n v="2"/>
        <n v="3"/>
        <n v="4"/>
        <n v="5"/>
        <n v="6"/>
        <n v="7"/>
        <n v="8"/>
        <n v="9"/>
        <n v="10"/>
        <n v="11"/>
        <n v="12"/>
        <n v="13"/>
        <m/>
      </sharedItems>
    </cacheField>
    <cacheField name="Gender Value" numFmtId="0">
      <sharedItems containsBlank="1" count="5">
        <s v="Unknown"/>
        <s v="Male"/>
        <s v="Female"/>
        <s v="Other"/>
        <m/>
      </sharedItems>
    </cacheField>
    <cacheField name="Quantity2" numFmtId="0" databaseField="0">
      <fieldGroup base="2">
        <discretePr count="49">
          <x v="0"/>
          <x v="1"/>
          <x v="2"/>
          <x v="5"/>
          <x v="6"/>
          <x v="6"/>
          <x v="6"/>
          <x v="5"/>
          <x v="5"/>
          <x v="3"/>
          <x v="6"/>
          <x v="5"/>
          <x v="4"/>
          <x v="5"/>
          <x v="6"/>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7250390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1">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r>
    <m/>
    <x v="20"/>
    <x v="48"/>
    <m/>
    <m/>
    <x v="88"/>
    <m/>
    <m/>
    <x v="5"/>
    <x v="5"/>
    <x v="1"/>
    <x v="58"/>
    <x v="15"/>
    <x v="1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4D1724-B375-468E-B9D9-7C66B6394FA7}" name="pv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G26" firstHeaderRow="1" firstDataRow="2" firstDataCol="1"/>
  <pivotFields count="18">
    <pivotField showAll="0"/>
    <pivotField axis="axisRow" showAll="0" sortType="descending">
      <items count="22">
        <item x="14"/>
        <item x="10"/>
        <item x="12"/>
        <item x="15"/>
        <item x="4"/>
        <item x="7"/>
        <item x="6"/>
        <item x="19"/>
        <item x="18"/>
        <item x="11"/>
        <item x="17"/>
        <item x="5"/>
        <item x="0"/>
        <item x="2"/>
        <item x="9"/>
        <item x="16"/>
        <item x="1"/>
        <item x="13"/>
        <item x="8"/>
        <item x="3"/>
        <item x="20"/>
        <item t="default"/>
      </items>
      <autoSortScope>
        <pivotArea dataOnly="0" outline="0" fieldPosition="0">
          <references count="1">
            <reference field="4294967294" count="1" selected="0">
              <x v="0"/>
            </reference>
          </references>
        </pivotArea>
      </autoSortScope>
    </pivotField>
    <pivotField dataField="1"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showAll="0"/>
    <pivotField showAll="0"/>
    <pivotField showAll="0"/>
    <pivotField showAll="0"/>
    <pivotField showAll="0"/>
    <pivotField axis="axisCol" showAll="0">
      <items count="6">
        <item x="2"/>
        <item x="1"/>
        <item x="3"/>
        <item x="0"/>
        <item x="4"/>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2">
    <i>
      <x v="18"/>
    </i>
    <i>
      <x v="6"/>
    </i>
    <i>
      <x v="13"/>
    </i>
    <i>
      <x v="16"/>
    </i>
    <i>
      <x v="1"/>
    </i>
    <i>
      <x v="12"/>
    </i>
    <i>
      <x v="14"/>
    </i>
    <i>
      <x v="4"/>
    </i>
    <i>
      <x v="5"/>
    </i>
    <i>
      <x v="11"/>
    </i>
    <i>
      <x v="3"/>
    </i>
    <i>
      <x v="8"/>
    </i>
    <i>
      <x v="2"/>
    </i>
    <i>
      <x v="19"/>
    </i>
    <i>
      <x v="10"/>
    </i>
    <i>
      <x v="9"/>
    </i>
    <i>
      <x v="15"/>
    </i>
    <i>
      <x v="17"/>
    </i>
    <i>
      <x/>
    </i>
    <i>
      <x v="7"/>
    </i>
    <i>
      <x v="20"/>
    </i>
    <i t="grand">
      <x/>
    </i>
  </rowItems>
  <colFields count="1">
    <field x="14"/>
  </colFields>
  <colItems count="6">
    <i>
      <x/>
    </i>
    <i>
      <x v="1"/>
    </i>
    <i>
      <x v="2"/>
    </i>
    <i>
      <x v="3"/>
    </i>
    <i>
      <x v="4"/>
    </i>
    <i t="grand">
      <x/>
    </i>
  </colItems>
  <dataFields count="1">
    <dataField name="Sum of Quantity" fld="2" baseField="0" baseItem="0"/>
  </dataFields>
  <chartFormats count="5">
    <chartFormat chart="3" format="9" series="1">
      <pivotArea type="data" outline="0" fieldPosition="0">
        <references count="2">
          <reference field="4294967294" count="1" selected="0">
            <x v="0"/>
          </reference>
          <reference field="14" count="1" selected="0">
            <x v="0"/>
          </reference>
        </references>
      </pivotArea>
    </chartFormat>
    <chartFormat chart="3" format="10" series="1">
      <pivotArea type="data" outline="0" fieldPosition="0">
        <references count="2">
          <reference field="4294967294" count="1" selected="0">
            <x v="0"/>
          </reference>
          <reference field="14" count="1" selected="0">
            <x v="1"/>
          </reference>
        </references>
      </pivotArea>
    </chartFormat>
    <chartFormat chart="3" format="11" series="1">
      <pivotArea type="data" outline="0" fieldPosition="0">
        <references count="2">
          <reference field="4294967294" count="1" selected="0">
            <x v="0"/>
          </reference>
          <reference field="14" count="1" selected="0">
            <x v="2"/>
          </reference>
        </references>
      </pivotArea>
    </chartFormat>
    <chartFormat chart="3" format="12" series="1">
      <pivotArea type="data" outline="0" fieldPosition="0">
        <references count="2">
          <reference field="4294967294" count="1" selected="0">
            <x v="0"/>
          </reference>
          <reference field="14" count="1" selected="0">
            <x v="3"/>
          </reference>
        </references>
      </pivotArea>
    </chartFormat>
    <chartFormat chart="3" format="13"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0DCFD0-E199-4832-BA58-C171EDD9E033}" name="pv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3:I8" firstHeaderRow="1" firstDataRow="1" firstDataCol="1"/>
  <pivotFields count="18">
    <pivotField showAll="0"/>
    <pivotField showAll="0"/>
    <pivotField dataField="1"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showAll="0"/>
    <pivotField showAll="0"/>
    <pivotField showAll="0"/>
    <pivotField showAll="0"/>
    <pivotField showAll="0"/>
    <pivotField axis="axisRow" showAll="0">
      <items count="6">
        <item x="2"/>
        <item x="1"/>
        <item x="3"/>
        <item x="0"/>
        <item h="1" x="4"/>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3" format="9" series="1">
      <pivotArea type="data" outline="0" fieldPosition="0">
        <references count="2">
          <reference field="4294967294" count="1" selected="0">
            <x v="0"/>
          </reference>
          <reference field="14" count="1" selected="0">
            <x v="0"/>
          </reference>
        </references>
      </pivotArea>
    </chartFormat>
    <chartFormat chart="3" format="10" series="1">
      <pivotArea type="data" outline="0" fieldPosition="0">
        <references count="2">
          <reference field="4294967294" count="1" selected="0">
            <x v="0"/>
          </reference>
          <reference field="14" count="1" selected="0">
            <x v="1"/>
          </reference>
        </references>
      </pivotArea>
    </chartFormat>
    <chartFormat chart="3" format="11" series="1">
      <pivotArea type="data" outline="0" fieldPosition="0">
        <references count="2">
          <reference field="4294967294" count="1" selected="0">
            <x v="0"/>
          </reference>
          <reference field="14" count="1" selected="0">
            <x v="2"/>
          </reference>
        </references>
      </pivotArea>
    </chartFormat>
    <chartFormat chart="3" format="12" series="1">
      <pivotArea type="data" outline="0" fieldPosition="0">
        <references count="2">
          <reference field="4294967294" count="1" selected="0">
            <x v="0"/>
          </reference>
          <reference field="14" count="1" selected="0">
            <x v="3"/>
          </reference>
        </references>
      </pivotArea>
    </chartFormat>
    <chartFormat chart="15" format="11"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14" count="1" selected="0">
            <x v="0"/>
          </reference>
        </references>
      </pivotArea>
    </chartFormat>
    <chartFormat chart="15" format="13">
      <pivotArea type="data" outline="0" fieldPosition="0">
        <references count="2">
          <reference field="4294967294" count="1" selected="0">
            <x v="0"/>
          </reference>
          <reference field="14" count="1" selected="0">
            <x v="1"/>
          </reference>
        </references>
      </pivotArea>
    </chartFormat>
    <chartFormat chart="15" format="14">
      <pivotArea type="data" outline="0" fieldPosition="0">
        <references count="2">
          <reference field="4294967294" count="1" selected="0">
            <x v="0"/>
          </reference>
          <reference field="14" count="1" selected="0">
            <x v="2"/>
          </reference>
        </references>
      </pivotArea>
    </chartFormat>
    <chartFormat chart="15" format="15">
      <pivotArea type="data" outline="0" fieldPosition="0">
        <references count="2">
          <reference field="4294967294" count="1" selected="0">
            <x v="0"/>
          </reference>
          <reference field="14" count="1" selected="0">
            <x v="3"/>
          </reference>
        </references>
      </pivotArea>
    </chartFormat>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14" count="1" selected="0">
            <x v="0"/>
          </reference>
        </references>
      </pivotArea>
    </chartFormat>
    <chartFormat chart="16" format="18">
      <pivotArea type="data" outline="0" fieldPosition="0">
        <references count="2">
          <reference field="4294967294" count="1" selected="0">
            <x v="0"/>
          </reference>
          <reference field="14" count="1" selected="0">
            <x v="1"/>
          </reference>
        </references>
      </pivotArea>
    </chartFormat>
    <chartFormat chart="16" format="19">
      <pivotArea type="data" outline="0" fieldPosition="0">
        <references count="2">
          <reference field="4294967294" count="1" selected="0">
            <x v="0"/>
          </reference>
          <reference field="14" count="1" selected="0">
            <x v="2"/>
          </reference>
        </references>
      </pivotArea>
    </chartFormat>
    <chartFormat chart="16" format="20">
      <pivotArea type="data" outline="0" fieldPosition="0">
        <references count="2">
          <reference field="4294967294" count="1" selected="0">
            <x v="0"/>
          </reference>
          <reference field="14" count="1" selected="0">
            <x v="3"/>
          </reference>
        </references>
      </pivotArea>
    </chartFormat>
    <chartFormat chart="20" format="26" series="1">
      <pivotArea type="data" outline="0" fieldPosition="0">
        <references count="1">
          <reference field="4294967294" count="1" selected="0">
            <x v="0"/>
          </reference>
        </references>
      </pivotArea>
    </chartFormat>
    <chartFormat chart="20" format="27">
      <pivotArea type="data" outline="0" fieldPosition="0">
        <references count="2">
          <reference field="4294967294" count="1" selected="0">
            <x v="0"/>
          </reference>
          <reference field="14" count="1" selected="0">
            <x v="0"/>
          </reference>
        </references>
      </pivotArea>
    </chartFormat>
    <chartFormat chart="20" format="28">
      <pivotArea type="data" outline="0" fieldPosition="0">
        <references count="2">
          <reference field="4294967294" count="1" selected="0">
            <x v="0"/>
          </reference>
          <reference field="14" count="1" selected="0">
            <x v="1"/>
          </reference>
        </references>
      </pivotArea>
    </chartFormat>
    <chartFormat chart="20" format="29">
      <pivotArea type="data" outline="0" fieldPosition="0">
        <references count="2">
          <reference field="4294967294" count="1" selected="0">
            <x v="0"/>
          </reference>
          <reference field="14" count="1" selected="0">
            <x v="2"/>
          </reference>
        </references>
      </pivotArea>
    </chartFormat>
    <chartFormat chart="20" format="3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E3057B-E09F-4C43-9772-AD096CB9A123}" name="pvtSummary" cacheId="0" applyNumberFormats="0" applyBorderFormats="0" applyFontFormats="0" applyPatternFormats="0" applyAlignmentFormats="0" applyWidthHeightFormats="1" dataCaption="Values" updatedVersion="8" minRefreshableVersion="3" useAutoFormatting="1" itemPrintTitles="1" mergeItem="1" createdVersion="8" indent="0" outline="1" outlineData="1" multipleFieldFilters="0">
  <location ref="A3:E4" firstHeaderRow="0" firstDataRow="1" firstDataCol="0"/>
  <pivotFields count="18">
    <pivotField dataField="1" showAll="0"/>
    <pivotField showAll="0"/>
    <pivotField dataField="1"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dataField="1" showAll="0"/>
    <pivotField numFmtId="15"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umFmtId="15" showAll="0"/>
    <pivotField showAll="0"/>
    <pivotField showAll="0">
      <items count="7">
        <item x="0"/>
        <item x="3"/>
        <item x="4"/>
        <item x="2"/>
        <item x="1"/>
        <item x="5"/>
        <item t="default"/>
      </items>
    </pivotField>
    <pivotField dataField="1" showAll="0"/>
    <pivotField showAll="0"/>
    <pivotField showAll="0"/>
    <pivotField dataField="1" showAll="0"/>
    <pivotField showAll="0"/>
    <pivotField showAll="0">
      <items count="6">
        <item x="2"/>
        <item x="1"/>
        <item x="3"/>
        <item x="0"/>
        <item x="4"/>
        <item t="default"/>
      </items>
    </pivotField>
    <pivotField showAll="0">
      <items count="8">
        <item x="0"/>
        <item x="1"/>
        <item x="2"/>
        <item x="3"/>
        <item x="4"/>
        <item x="5"/>
        <item x="6"/>
        <item t="default"/>
      </items>
    </pivotField>
    <pivotField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formats count="1">
    <format dxfId="9">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104625-2E87-41C8-9BC0-2DAC05AA5948}" name="pv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8:C23" firstHeaderRow="0" firstDataRow="1" firstDataCol="1"/>
  <pivotFields count="18">
    <pivotField showAll="0"/>
    <pivotField showAll="0"/>
    <pivotField dataField="1"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dataField="1" showAll="0"/>
    <pivotField numFmtId="15"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umFmtId="15" showAll="0"/>
    <pivotField showAll="0"/>
    <pivotField showAll="0">
      <items count="7">
        <item x="0"/>
        <item x="3"/>
        <item x="4"/>
        <item x="2"/>
        <item x="1"/>
        <item x="5"/>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6">
        <item x="2"/>
        <item x="1"/>
        <item x="3"/>
        <item x="0"/>
        <item x="4"/>
        <item t="default"/>
      </items>
    </pivotField>
    <pivotField showAll="0">
      <items count="8">
        <item x="0"/>
        <item x="1"/>
        <item x="2"/>
        <item x="3"/>
        <item x="4"/>
        <item x="5"/>
        <item x="6"/>
        <item t="default"/>
      </items>
    </pivotField>
    <pivotField showAll="0"/>
    <pivotField showAll="0">
      <items count="15">
        <item x="0"/>
        <item x="1"/>
        <item x="2"/>
        <item x="3"/>
        <item x="4"/>
        <item x="5"/>
        <item x="6"/>
        <item x="7"/>
        <item x="8"/>
        <item x="9"/>
        <item x="10"/>
        <item x="11"/>
        <item x="12"/>
        <item x="13"/>
        <item t="default"/>
      </items>
    </pivotField>
  </pivotFields>
  <rowFields count="1">
    <field x="13"/>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Quantity" fld="2" baseField="0" baseItem="0"/>
    <dataField name="Sum of Amount" fld="4" baseField="0" baseItem="0" numFmtId="166"/>
  </dataFields>
  <formats count="3">
    <format dxfId="12">
      <pivotArea dataOnly="0" labelOnly="1" outline="0" fieldPosition="0">
        <references count="1">
          <reference field="4294967294" count="1">
            <x v="0"/>
          </reference>
        </references>
      </pivotArea>
    </format>
    <format dxfId="11">
      <pivotArea field="13" grandRow="1" outline="0" collapsedLevelsAreSubtotals="1" axis="axisRow" fieldPosition="0">
        <references count="1">
          <reference field="4294967294" count="1" selected="0">
            <x v="1"/>
          </reference>
        </references>
      </pivotArea>
    </format>
    <format dxfId="10">
      <pivotArea outline="0" fieldPosition="0">
        <references count="1">
          <reference field="4294967294" count="1">
            <x v="1"/>
          </reference>
        </references>
      </pivotArea>
    </format>
  </formats>
  <chartFormats count="2">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27B9DF-5A78-47D1-9A24-4DF352A3CCAA}" name="pvt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1" firstHeaderRow="1" firstDataRow="2" firstDataCol="1"/>
  <pivotFields count="18">
    <pivotField showAll="0"/>
    <pivotField showAll="0"/>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dataField="1"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axis="axisRow" showAll="0">
      <items count="7">
        <item x="0"/>
        <item x="3"/>
        <item x="4"/>
        <item x="2"/>
        <item x="1"/>
        <item x="5"/>
        <item t="default"/>
      </items>
    </pivotField>
    <pivotField showAll="0"/>
    <pivotField showAll="0"/>
    <pivotField showAll="0"/>
    <pivotField showAll="0"/>
    <pivotField showAll="0"/>
    <pivotField axis="axisCol" showAll="0">
      <items count="6">
        <item x="2"/>
        <item x="1"/>
        <item x="3"/>
        <item x="0"/>
        <item x="4"/>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7">
    <i>
      <x/>
    </i>
    <i>
      <x v="1"/>
    </i>
    <i>
      <x v="2"/>
    </i>
    <i>
      <x v="3"/>
    </i>
    <i>
      <x v="4"/>
    </i>
    <i>
      <x v="5"/>
    </i>
    <i t="grand">
      <x/>
    </i>
  </rowItems>
  <colFields count="1">
    <field x="14"/>
  </colFields>
  <colItems count="6">
    <i>
      <x/>
    </i>
    <i>
      <x v="1"/>
    </i>
    <i>
      <x v="2"/>
    </i>
    <i>
      <x v="3"/>
    </i>
    <i>
      <x v="4"/>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1C76DE-C3DF-41E4-8E53-11317DA001C9}" name="pvtOrder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18">
    <pivotField dataField="1" showAll="0"/>
    <pivotField showAll="0"/>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showAll="0"/>
    <pivotField showAll="0"/>
    <pivotField showAll="0"/>
    <pivotField showAll="0"/>
    <pivotField showAll="0"/>
    <pivotField showAll="0">
      <items count="6">
        <item x="2"/>
        <item x="1"/>
        <item x="3"/>
        <item x="0"/>
        <item x="4"/>
        <item t="default"/>
      </items>
    </pivotField>
    <pivotField axis="axisRow" showAll="0">
      <items count="8">
        <item x="0"/>
        <item x="1"/>
        <item x="2"/>
        <item x="4"/>
        <item x="3"/>
        <item n="6 TO 1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71C75F-F107-4375-BAB6-C9FDE4E24C06}" name="pvt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2"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0"/>
        <item x="3"/>
        <item x="4"/>
        <item x="2"/>
        <item x="1"/>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x="5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2"/>
        <item x="1"/>
        <item x="3"/>
        <item x="0"/>
        <item x="4"/>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x v="1"/>
      <x v="58"/>
    </i>
  </rowItems>
  <colFields count="1">
    <field x="-2"/>
  </colFields>
  <colItems count="2">
    <i>
      <x/>
    </i>
    <i i="1">
      <x v="1"/>
    </i>
  </colItems>
  <dataFields count="2">
    <dataField name="Sum of Amount" fld="4"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433DDE-C861-4FF5-9F5C-0D7D1F43662B}" name="pvt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9" firstHeaderRow="1" firstDataRow="1" firstDataCol="1"/>
  <pivotFields count="18">
    <pivotField dataField="1" showAll="0"/>
    <pivotField showAll="0"/>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showAll="0"/>
    <pivotField showAll="0"/>
    <pivotField showAll="0"/>
    <pivotField axis="axisRow" showAll="0">
      <items count="17">
        <item x="7"/>
        <item x="3"/>
        <item x="1"/>
        <item x="2"/>
        <item x="5"/>
        <item x="0"/>
        <item x="4"/>
        <item x="6"/>
        <item x="9"/>
        <item x="8"/>
        <item x="14"/>
        <item x="11"/>
        <item x="13"/>
        <item x="10"/>
        <item x="12"/>
        <item h="1" x="15"/>
        <item t="default"/>
      </items>
    </pivotField>
    <pivotField showAll="0"/>
    <pivotField showAll="0">
      <items count="6">
        <item x="2"/>
        <item x="1"/>
        <item x="3"/>
        <item x="0"/>
        <item x="4"/>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FDDDE2-BE30-4169-A1C1-04EEA0443F46}" name="pv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G8" firstHeaderRow="1" firstDataRow="2" firstDataCol="1"/>
  <pivotFields count="18">
    <pivotField dataField="1" showAll="0"/>
    <pivotField showAll="0"/>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axis="axisCol" showAll="0">
      <items count="7">
        <item x="3"/>
        <item x="4"/>
        <item x="1"/>
        <item x="0"/>
        <item x="2"/>
        <item x="5"/>
        <item t="default"/>
      </items>
    </pivotField>
    <pivotField showAll="0"/>
    <pivotField showAll="0"/>
    <pivotField showAll="0"/>
    <pivotField showAll="0"/>
    <pivotField showAll="0">
      <items count="6">
        <item x="2"/>
        <item x="1"/>
        <item x="3"/>
        <item x="0"/>
        <item x="4"/>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5">
    <chartFormat chart="16" format="5" series="1">
      <pivotArea type="data" outline="0" fieldPosition="0">
        <references count="2">
          <reference field="4294967294" count="1" selected="0">
            <x v="0"/>
          </reference>
          <reference field="9" count="1" selected="0">
            <x v="0"/>
          </reference>
        </references>
      </pivotArea>
    </chartFormat>
    <chartFormat chart="16" format="6" series="1">
      <pivotArea type="data" outline="0" fieldPosition="0">
        <references count="2">
          <reference field="4294967294" count="1" selected="0">
            <x v="0"/>
          </reference>
          <reference field="9" count="1" selected="0">
            <x v="1"/>
          </reference>
        </references>
      </pivotArea>
    </chartFormat>
    <chartFormat chart="16" format="7" series="1">
      <pivotArea type="data" outline="0" fieldPosition="0">
        <references count="2">
          <reference field="4294967294" count="1" selected="0">
            <x v="0"/>
          </reference>
          <reference field="9" count="1" selected="0">
            <x v="2"/>
          </reference>
        </references>
      </pivotArea>
    </chartFormat>
    <chartFormat chart="16" format="8" series="1">
      <pivotArea type="data" outline="0" fieldPosition="0">
        <references count="2">
          <reference field="4294967294" count="1" selected="0">
            <x v="0"/>
          </reference>
          <reference field="9" count="1" selected="0">
            <x v="3"/>
          </reference>
        </references>
      </pivotArea>
    </chartFormat>
    <chartFormat chart="16" format="9" series="1">
      <pivotArea type="data" outline="0" fieldPosition="0">
        <references count="2">
          <reference field="4294967294" count="1" selected="0">
            <x v="0"/>
          </reference>
          <reference field="9" count="1" selected="0">
            <x v="4"/>
          </reference>
        </references>
      </pivotArea>
    </chartFormat>
    <chartFormat chart="17" format="10" series="1">
      <pivotArea type="data" outline="0" fieldPosition="0">
        <references count="2">
          <reference field="4294967294" count="1" selected="0">
            <x v="0"/>
          </reference>
          <reference field="9" count="1" selected="0">
            <x v="0"/>
          </reference>
        </references>
      </pivotArea>
    </chartFormat>
    <chartFormat chart="17" format="11" series="1">
      <pivotArea type="data" outline="0" fieldPosition="0">
        <references count="2">
          <reference field="4294967294" count="1" selected="0">
            <x v="0"/>
          </reference>
          <reference field="9" count="1" selected="0">
            <x v="1"/>
          </reference>
        </references>
      </pivotArea>
    </chartFormat>
    <chartFormat chart="17" format="12" series="1">
      <pivotArea type="data" outline="0" fieldPosition="0">
        <references count="2">
          <reference field="4294967294" count="1" selected="0">
            <x v="0"/>
          </reference>
          <reference field="9" count="1" selected="0">
            <x v="2"/>
          </reference>
        </references>
      </pivotArea>
    </chartFormat>
    <chartFormat chart="17" format="13" series="1">
      <pivotArea type="data" outline="0" fieldPosition="0">
        <references count="2">
          <reference field="4294967294" count="1" selected="0">
            <x v="0"/>
          </reference>
          <reference field="9" count="1" selected="0">
            <x v="3"/>
          </reference>
        </references>
      </pivotArea>
    </chartFormat>
    <chartFormat chart="17" format="14" series="1">
      <pivotArea type="data" outline="0" fieldPosition="0">
        <references count="2">
          <reference field="4294967294" count="1" selected="0">
            <x v="0"/>
          </reference>
          <reference field="9" count="1" selected="0">
            <x v="4"/>
          </reference>
        </references>
      </pivotArea>
    </chartFormat>
    <chartFormat chart="18" format="10" series="1">
      <pivotArea type="data" outline="0" fieldPosition="0">
        <references count="2">
          <reference field="4294967294" count="1" selected="0">
            <x v="0"/>
          </reference>
          <reference field="9" count="1" selected="0">
            <x v="0"/>
          </reference>
        </references>
      </pivotArea>
    </chartFormat>
    <chartFormat chart="18" format="11" series="1">
      <pivotArea type="data" outline="0" fieldPosition="0">
        <references count="2">
          <reference field="4294967294" count="1" selected="0">
            <x v="0"/>
          </reference>
          <reference field="9" count="1" selected="0">
            <x v="1"/>
          </reference>
        </references>
      </pivotArea>
    </chartFormat>
    <chartFormat chart="18" format="12" series="1">
      <pivotArea type="data" outline="0" fieldPosition="0">
        <references count="2">
          <reference field="4294967294" count="1" selected="0">
            <x v="0"/>
          </reference>
          <reference field="9" count="1" selected="0">
            <x v="2"/>
          </reference>
        </references>
      </pivotArea>
    </chartFormat>
    <chartFormat chart="18" format="13" series="1">
      <pivotArea type="data" outline="0" fieldPosition="0">
        <references count="2">
          <reference field="4294967294" count="1" selected="0">
            <x v="0"/>
          </reference>
          <reference field="9" count="1" selected="0">
            <x v="3"/>
          </reference>
        </references>
      </pivotArea>
    </chartFormat>
    <chartFormat chart="18"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570585D8-6882-4551-ADBC-0F2B92E2EDA6}" sourceName="Gender Value">
  <pivotTables>
    <pivotTable tabId="15" name="pvtRating"/>
    <pivotTable tabId="12" name="pvtMap"/>
    <pivotTable tabId="10" name="pvtOrderQty"/>
    <pivotTable tabId="14" name="pvtDuration"/>
    <pivotTable tabId="11" name="pvtProduct"/>
    <pivotTable tabId="5" name="pvtSummary"/>
    <pivotTable tabId="5" name="pvtTrend"/>
  </pivotTables>
  <data>
    <tabular pivotCacheId="725039071">
      <items count="5">
        <i x="2" s="1"/>
        <i x="1" s="1"/>
        <i x="3" s="1"/>
        <i x="0"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9073AB9F-7F44-4226-9311-CD4B0DA6D8EF}" sourceName="Order Mode">
  <pivotTables>
    <pivotTable tabId="15" name="pvtRating"/>
    <pivotTable tabId="12" name="pvtMap"/>
    <pivotTable tabId="10" name="pvtOrderQty"/>
    <pivotTable tabId="11" name="pvtGender"/>
    <pivotTable tabId="11" name="pvtProduct"/>
    <pivotTable tabId="14" name="pvtDuration"/>
    <pivotTable tabId="5" name="pvtTrend"/>
    <pivotTable tabId="5" name="pvtSummary"/>
  </pivotTables>
  <data>
    <tabular pivotCacheId="725039071">
      <items count="6">
        <i x="0" s="1"/>
        <i x="3" s="1"/>
        <i x="4" s="1"/>
        <i x="2" s="1"/>
        <i x="1"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FE62D812-B582-447F-996D-B3FA4451533A}" cache="Slicer_Gender_Value" caption="Gender Value" rowHeight="257175"/>
  <slicer name="Order Mode" xr10:uid="{6F80601C-E88C-4720-90BE-F00533340F2E}" cache="Slicer_Order_Mode" caption="Order Mod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autoFilter ref="A1:O2401" xr:uid="{32EEAC7A-86FC-461F-9D5F-511044F2AF9D}"/>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8"/>
    <tableColumn id="7" xr3:uid="{43BB5DBF-46E1-4185-80C0-4361F55A385C}" name="Ship Date" dataDxfId="7"/>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6">
      <calculatedColumnFormula>orders[[#This Row],[Ship Date]]-orders[[#This Row],[Order Date]]</calculatedColumnFormula>
    </tableColumn>
    <tableColumn id="12" xr3:uid="{B071C0DA-87A9-4516-B4D9-4F5B7D3FF44A}" name="Weeknum" dataDxfId="5">
      <calculatedColumnFormula>WEEKNUM(orders[[#This Row],[Order Date]])</calculatedColumnFormula>
    </tableColumn>
    <tableColumn id="13" xr3:uid="{B8EA9E28-7541-4E76-9935-C26438661A18}" name="Gender Value" dataDxfId="4">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18E56-FC27-4074-952F-F98547131F89}">
  <dimension ref="A3:I26"/>
  <sheetViews>
    <sheetView workbookViewId="0">
      <selection activeCell="H3" sqref="H3"/>
    </sheetView>
  </sheetViews>
  <sheetFormatPr defaultRowHeight="15" x14ac:dyDescent="0.25"/>
  <cols>
    <col min="1" max="1" width="20.85546875" bestFit="1" customWidth="1"/>
    <col min="2" max="2" width="16.85546875" bestFit="1" customWidth="1"/>
    <col min="3" max="3" width="5.28515625" bestFit="1" customWidth="1"/>
    <col min="4" max="4" width="6.140625" bestFit="1" customWidth="1"/>
    <col min="5" max="5" width="9.28515625" bestFit="1" customWidth="1"/>
    <col min="6" max="6" width="7.28515625" bestFit="1" customWidth="1"/>
    <col min="7" max="7" width="11.28515625" bestFit="1" customWidth="1"/>
    <col min="8" max="8" width="13.42578125" bestFit="1" customWidth="1"/>
    <col min="9" max="9" width="15.5703125" bestFit="1" customWidth="1"/>
    <col min="10" max="10" width="5.28515625" bestFit="1" customWidth="1"/>
    <col min="11" max="11" width="6.140625" bestFit="1" customWidth="1"/>
    <col min="12" max="12" width="9.28515625" bestFit="1" customWidth="1"/>
    <col min="13" max="13" width="11.28515625" bestFit="1" customWidth="1"/>
  </cols>
  <sheetData>
    <row r="3" spans="1:9" x14ac:dyDescent="0.25">
      <c r="A3" s="8" t="s">
        <v>2520</v>
      </c>
      <c r="B3" s="8" t="s">
        <v>2530</v>
      </c>
      <c r="H3" s="8" t="s">
        <v>2528</v>
      </c>
      <c r="I3" t="s">
        <v>2520</v>
      </c>
    </row>
    <row r="4" spans="1:9" x14ac:dyDescent="0.25">
      <c r="A4" s="8" t="s">
        <v>2528</v>
      </c>
      <c r="B4" t="s">
        <v>2531</v>
      </c>
      <c r="C4" t="s">
        <v>2532</v>
      </c>
      <c r="D4" t="s">
        <v>2533</v>
      </c>
      <c r="E4" t="s">
        <v>2534</v>
      </c>
      <c r="F4" t="s">
        <v>2535</v>
      </c>
      <c r="G4" t="s">
        <v>2529</v>
      </c>
      <c r="H4" s="9" t="s">
        <v>2531</v>
      </c>
      <c r="I4">
        <v>6272</v>
      </c>
    </row>
    <row r="5" spans="1:9" x14ac:dyDescent="0.25">
      <c r="A5" s="9" t="s">
        <v>44</v>
      </c>
      <c r="B5" s="18">
        <v>744</v>
      </c>
      <c r="C5" s="18">
        <v>713</v>
      </c>
      <c r="D5" s="18">
        <v>90</v>
      </c>
      <c r="E5" s="18">
        <v>98</v>
      </c>
      <c r="F5" s="18"/>
      <c r="G5" s="18">
        <v>1645</v>
      </c>
      <c r="H5" s="9" t="s">
        <v>2532</v>
      </c>
      <c r="I5">
        <v>4672</v>
      </c>
    </row>
    <row r="6" spans="1:9" x14ac:dyDescent="0.25">
      <c r="A6" s="9" t="s">
        <v>39</v>
      </c>
      <c r="B6" s="18">
        <v>716</v>
      </c>
      <c r="C6" s="18">
        <v>598</v>
      </c>
      <c r="D6" s="18">
        <v>18</v>
      </c>
      <c r="E6" s="18">
        <v>214</v>
      </c>
      <c r="F6" s="18"/>
      <c r="G6" s="18">
        <v>1546</v>
      </c>
      <c r="H6" s="9" t="s">
        <v>2533</v>
      </c>
      <c r="I6">
        <v>317</v>
      </c>
    </row>
    <row r="7" spans="1:9" x14ac:dyDescent="0.25">
      <c r="A7" s="9" t="s">
        <v>26</v>
      </c>
      <c r="B7" s="18">
        <v>627</v>
      </c>
      <c r="C7" s="18">
        <v>393</v>
      </c>
      <c r="D7" s="18">
        <v>29</v>
      </c>
      <c r="E7" s="18">
        <v>137</v>
      </c>
      <c r="F7" s="18"/>
      <c r="G7" s="18">
        <v>1186</v>
      </c>
      <c r="H7" s="9" t="s">
        <v>2534</v>
      </c>
      <c r="I7">
        <v>736</v>
      </c>
    </row>
    <row r="8" spans="1:9" x14ac:dyDescent="0.25">
      <c r="A8" s="9" t="s">
        <v>22</v>
      </c>
      <c r="B8" s="18">
        <v>568</v>
      </c>
      <c r="C8" s="18">
        <v>306</v>
      </c>
      <c r="D8" s="18">
        <v>22</v>
      </c>
      <c r="E8" s="18">
        <v>16</v>
      </c>
      <c r="F8" s="18"/>
      <c r="G8" s="18">
        <v>912</v>
      </c>
      <c r="H8" s="9" t="s">
        <v>2529</v>
      </c>
      <c r="I8">
        <v>11997</v>
      </c>
    </row>
    <row r="9" spans="1:9" x14ac:dyDescent="0.25">
      <c r="A9" s="9" t="s">
        <v>54</v>
      </c>
      <c r="B9" s="18">
        <v>482</v>
      </c>
      <c r="C9" s="18">
        <v>295</v>
      </c>
      <c r="D9" s="18">
        <v>8</v>
      </c>
      <c r="E9" s="18">
        <v>22</v>
      </c>
      <c r="F9" s="18"/>
      <c r="G9" s="18">
        <v>807</v>
      </c>
    </row>
    <row r="10" spans="1:9" x14ac:dyDescent="0.25">
      <c r="A10" s="9" t="s">
        <v>16</v>
      </c>
      <c r="B10" s="18">
        <v>428</v>
      </c>
      <c r="C10" s="18">
        <v>293</v>
      </c>
      <c r="D10" s="18"/>
      <c r="E10" s="18">
        <v>24</v>
      </c>
      <c r="F10" s="18"/>
      <c r="G10" s="18">
        <v>745</v>
      </c>
    </row>
    <row r="11" spans="1:9" x14ac:dyDescent="0.25">
      <c r="A11" s="9" t="s">
        <v>46</v>
      </c>
      <c r="B11" s="18">
        <v>445</v>
      </c>
      <c r="C11" s="18">
        <v>202</v>
      </c>
      <c r="D11" s="18">
        <v>14</v>
      </c>
      <c r="E11" s="18">
        <v>39</v>
      </c>
      <c r="F11" s="18"/>
      <c r="G11" s="18">
        <v>700</v>
      </c>
    </row>
    <row r="12" spans="1:9" x14ac:dyDescent="0.25">
      <c r="A12" s="9" t="s">
        <v>32</v>
      </c>
      <c r="B12" s="18">
        <v>431</v>
      </c>
      <c r="C12" s="18">
        <v>187</v>
      </c>
      <c r="D12" s="18">
        <v>14</v>
      </c>
      <c r="E12" s="18">
        <v>15</v>
      </c>
      <c r="F12" s="18"/>
      <c r="G12" s="18">
        <v>647</v>
      </c>
    </row>
    <row r="13" spans="1:9" x14ac:dyDescent="0.25">
      <c r="A13" s="9" t="s">
        <v>42</v>
      </c>
      <c r="B13" s="18">
        <v>264</v>
      </c>
      <c r="C13" s="18">
        <v>318</v>
      </c>
      <c r="D13" s="18">
        <v>15</v>
      </c>
      <c r="E13" s="18">
        <v>9</v>
      </c>
      <c r="F13" s="18"/>
      <c r="G13" s="18">
        <v>606</v>
      </c>
    </row>
    <row r="14" spans="1:9" x14ac:dyDescent="0.25">
      <c r="A14" s="9" t="s">
        <v>37</v>
      </c>
      <c r="B14" s="18">
        <v>296</v>
      </c>
      <c r="C14" s="18">
        <v>275</v>
      </c>
      <c r="D14" s="18">
        <v>9</v>
      </c>
      <c r="E14" s="18">
        <v>23</v>
      </c>
      <c r="F14" s="18"/>
      <c r="G14" s="18">
        <v>603</v>
      </c>
    </row>
    <row r="15" spans="1:9" x14ac:dyDescent="0.25">
      <c r="A15" s="9" t="s">
        <v>123</v>
      </c>
      <c r="B15" s="18">
        <v>153</v>
      </c>
      <c r="C15" s="18">
        <v>246</v>
      </c>
      <c r="D15" s="18">
        <v>30</v>
      </c>
      <c r="E15" s="18">
        <v>8</v>
      </c>
      <c r="F15" s="18"/>
      <c r="G15" s="18">
        <v>437</v>
      </c>
    </row>
    <row r="16" spans="1:9" x14ac:dyDescent="0.25">
      <c r="A16" s="9" t="s">
        <v>146</v>
      </c>
      <c r="B16" s="18">
        <v>189</v>
      </c>
      <c r="C16" s="18">
        <v>168</v>
      </c>
      <c r="D16" s="18">
        <v>10</v>
      </c>
      <c r="E16" s="18">
        <v>31</v>
      </c>
      <c r="F16" s="18"/>
      <c r="G16" s="18">
        <v>398</v>
      </c>
    </row>
    <row r="17" spans="1:7" x14ac:dyDescent="0.25">
      <c r="A17" s="9" t="s">
        <v>69</v>
      </c>
      <c r="B17" s="18">
        <v>234</v>
      </c>
      <c r="C17" s="18">
        <v>93</v>
      </c>
      <c r="D17" s="18">
        <v>19</v>
      </c>
      <c r="E17" s="18">
        <v>24</v>
      </c>
      <c r="F17" s="18"/>
      <c r="G17" s="18">
        <v>370</v>
      </c>
    </row>
    <row r="18" spans="1:7" x14ac:dyDescent="0.25">
      <c r="A18" s="9" t="s">
        <v>30</v>
      </c>
      <c r="B18" s="18">
        <v>146</v>
      </c>
      <c r="C18" s="18">
        <v>94</v>
      </c>
      <c r="D18" s="18">
        <v>4</v>
      </c>
      <c r="E18" s="18">
        <v>28</v>
      </c>
      <c r="F18" s="18"/>
      <c r="G18" s="18">
        <v>272</v>
      </c>
    </row>
    <row r="19" spans="1:7" x14ac:dyDescent="0.25">
      <c r="A19" s="9" t="s">
        <v>135</v>
      </c>
      <c r="B19" s="18">
        <v>127</v>
      </c>
      <c r="C19" s="18">
        <v>118</v>
      </c>
      <c r="D19" s="18">
        <v>13</v>
      </c>
      <c r="E19" s="18">
        <v>12</v>
      </c>
      <c r="F19" s="18"/>
      <c r="G19" s="18">
        <v>270</v>
      </c>
    </row>
    <row r="20" spans="1:7" x14ac:dyDescent="0.25">
      <c r="A20" s="9" t="s">
        <v>67</v>
      </c>
      <c r="B20" s="18">
        <v>179</v>
      </c>
      <c r="C20" s="18">
        <v>76</v>
      </c>
      <c r="D20" s="18">
        <v>3</v>
      </c>
      <c r="E20" s="18"/>
      <c r="F20" s="18"/>
      <c r="G20" s="18">
        <v>258</v>
      </c>
    </row>
    <row r="21" spans="1:7" x14ac:dyDescent="0.25">
      <c r="A21" s="9" t="s">
        <v>128</v>
      </c>
      <c r="B21" s="18">
        <v>99</v>
      </c>
      <c r="C21" s="18">
        <v>69</v>
      </c>
      <c r="D21" s="18">
        <v>3</v>
      </c>
      <c r="E21" s="18">
        <v>24</v>
      </c>
      <c r="F21" s="18"/>
      <c r="G21" s="18">
        <v>195</v>
      </c>
    </row>
    <row r="22" spans="1:7" x14ac:dyDescent="0.25">
      <c r="A22" s="9" t="s">
        <v>76</v>
      </c>
      <c r="B22" s="18">
        <v>75</v>
      </c>
      <c r="C22" s="18">
        <v>103</v>
      </c>
      <c r="D22" s="18">
        <v>4</v>
      </c>
      <c r="E22" s="18">
        <v>6</v>
      </c>
      <c r="F22" s="18"/>
      <c r="G22" s="18">
        <v>188</v>
      </c>
    </row>
    <row r="23" spans="1:7" x14ac:dyDescent="0.25">
      <c r="A23" s="9" t="s">
        <v>81</v>
      </c>
      <c r="B23" s="18">
        <v>43</v>
      </c>
      <c r="C23" s="18">
        <v>90</v>
      </c>
      <c r="D23" s="18">
        <v>8</v>
      </c>
      <c r="E23" s="18">
        <v>6</v>
      </c>
      <c r="F23" s="18"/>
      <c r="G23" s="18">
        <v>147</v>
      </c>
    </row>
    <row r="24" spans="1:7" x14ac:dyDescent="0.25">
      <c r="A24" s="9" t="s">
        <v>171</v>
      </c>
      <c r="B24" s="18">
        <v>26</v>
      </c>
      <c r="C24" s="18">
        <v>35</v>
      </c>
      <c r="D24" s="18">
        <v>4</v>
      </c>
      <c r="E24" s="18"/>
      <c r="F24" s="18"/>
      <c r="G24" s="18">
        <v>65</v>
      </c>
    </row>
    <row r="25" spans="1:7" x14ac:dyDescent="0.25">
      <c r="A25" s="9" t="s">
        <v>2535</v>
      </c>
      <c r="B25" s="18"/>
      <c r="C25" s="18"/>
      <c r="D25" s="18"/>
      <c r="E25" s="18"/>
      <c r="F25" s="18"/>
      <c r="G25" s="18"/>
    </row>
    <row r="26" spans="1:7" x14ac:dyDescent="0.25">
      <c r="A26" s="9" t="s">
        <v>2529</v>
      </c>
      <c r="B26" s="18">
        <v>6272</v>
      </c>
      <c r="C26" s="18">
        <v>4672</v>
      </c>
      <c r="D26" s="18">
        <v>317</v>
      </c>
      <c r="E26" s="18">
        <v>736</v>
      </c>
      <c r="F26" s="18"/>
      <c r="G26" s="18">
        <v>11997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B9227-50E9-46EE-8833-F8C212AF5D3A}">
  <dimension ref="A2:K23"/>
  <sheetViews>
    <sheetView zoomScale="160" zoomScaleNormal="160" workbookViewId="0">
      <selection activeCell="I5" sqref="I5"/>
    </sheetView>
  </sheetViews>
  <sheetFormatPr defaultRowHeight="15" x14ac:dyDescent="0.25"/>
  <cols>
    <col min="1" max="1" width="13.42578125" bestFit="1" customWidth="1"/>
    <col min="2" max="2" width="15.5703125" bestFit="1" customWidth="1"/>
    <col min="3" max="3" width="14.85546875" bestFit="1" customWidth="1"/>
    <col min="4" max="4" width="18.7109375" bestFit="1" customWidth="1"/>
    <col min="5" max="5" width="25" bestFit="1" customWidth="1"/>
    <col min="9" max="9" width="11.42578125" bestFit="1" customWidth="1"/>
    <col min="10" max="10" width="10.85546875" bestFit="1" customWidth="1"/>
  </cols>
  <sheetData>
    <row r="2" spans="1:11" x14ac:dyDescent="0.25">
      <c r="G2" t="s">
        <v>2524</v>
      </c>
    </row>
    <row r="3" spans="1:11" x14ac:dyDescent="0.25">
      <c r="A3" s="15" t="s">
        <v>2542</v>
      </c>
      <c r="B3" s="15" t="s">
        <v>2520</v>
      </c>
      <c r="C3" s="15" t="s">
        <v>2521</v>
      </c>
      <c r="D3" s="15" t="s">
        <v>2522</v>
      </c>
      <c r="E3" s="15" t="s">
        <v>2523</v>
      </c>
      <c r="G3" s="6" t="s">
        <v>2518</v>
      </c>
      <c r="H3" s="6" t="s">
        <v>2525</v>
      </c>
      <c r="I3" s="6" t="s">
        <v>4</v>
      </c>
      <c r="J3" s="6" t="s">
        <v>2527</v>
      </c>
      <c r="K3" s="6" t="s">
        <v>2526</v>
      </c>
    </row>
    <row r="4" spans="1:11" x14ac:dyDescent="0.25">
      <c r="A4" s="18">
        <v>2400</v>
      </c>
      <c r="B4" s="18">
        <v>11997</v>
      </c>
      <c r="C4" s="18">
        <v>649019.80000000144</v>
      </c>
      <c r="D4" s="18">
        <v>3.9620833333333332</v>
      </c>
      <c r="E4" s="18">
        <v>2.3424999999999998</v>
      </c>
      <c r="G4" t="str">
        <f>TEXT(A4,"#,##")</f>
        <v>2,400</v>
      </c>
      <c r="H4" t="str">
        <f t="shared" ref="H4" si="0">TEXT(B4,"#,##")</f>
        <v>11,997</v>
      </c>
      <c r="I4" s="16" t="str">
        <f>TEXT(C4,"$#,##,.0k")</f>
        <v>$649.0k</v>
      </c>
      <c r="J4" t="str">
        <f>TEXT(D4,"0.0")</f>
        <v>4.0</v>
      </c>
      <c r="K4" t="str">
        <f>TEXT(E4,"0.0")</f>
        <v>2.3</v>
      </c>
    </row>
    <row r="8" spans="1:11" x14ac:dyDescent="0.25">
      <c r="A8" s="8" t="s">
        <v>2528</v>
      </c>
      <c r="B8" s="6" t="s">
        <v>2520</v>
      </c>
      <c r="C8" t="s">
        <v>2521</v>
      </c>
    </row>
    <row r="9" spans="1:11" x14ac:dyDescent="0.25">
      <c r="A9" s="9">
        <v>1</v>
      </c>
      <c r="B9" s="18">
        <v>546</v>
      </c>
      <c r="C9" s="17">
        <v>32413.300000000003</v>
      </c>
    </row>
    <row r="10" spans="1:11" x14ac:dyDescent="0.25">
      <c r="A10" s="9">
        <v>2</v>
      </c>
      <c r="B10" s="18">
        <v>905</v>
      </c>
      <c r="C10" s="17">
        <v>49562.999999999993</v>
      </c>
    </row>
    <row r="11" spans="1:11" x14ac:dyDescent="0.25">
      <c r="A11" s="9">
        <v>3</v>
      </c>
      <c r="B11" s="18">
        <v>796</v>
      </c>
      <c r="C11" s="17">
        <v>41700.400000000016</v>
      </c>
    </row>
    <row r="12" spans="1:11" x14ac:dyDescent="0.25">
      <c r="A12" s="9">
        <v>4</v>
      </c>
      <c r="B12" s="18">
        <v>913</v>
      </c>
      <c r="C12" s="17">
        <v>46782.599999999984</v>
      </c>
    </row>
    <row r="13" spans="1:11" x14ac:dyDescent="0.25">
      <c r="A13" s="9">
        <v>5</v>
      </c>
      <c r="B13" s="18">
        <v>844</v>
      </c>
      <c r="C13" s="17">
        <v>42676.100000000006</v>
      </c>
    </row>
    <row r="14" spans="1:11" x14ac:dyDescent="0.25">
      <c r="A14" s="9">
        <v>6</v>
      </c>
      <c r="B14" s="18">
        <v>1202</v>
      </c>
      <c r="C14" s="17">
        <v>62910.7</v>
      </c>
    </row>
    <row r="15" spans="1:11" x14ac:dyDescent="0.25">
      <c r="A15" s="9">
        <v>7</v>
      </c>
      <c r="B15" s="18">
        <v>935</v>
      </c>
      <c r="C15" s="17">
        <v>50332.200000000004</v>
      </c>
    </row>
    <row r="16" spans="1:11" x14ac:dyDescent="0.25">
      <c r="A16" s="9">
        <v>8</v>
      </c>
      <c r="B16" s="18">
        <v>1128</v>
      </c>
      <c r="C16" s="17">
        <v>58760.599999999977</v>
      </c>
    </row>
    <row r="17" spans="1:3" x14ac:dyDescent="0.25">
      <c r="A17" s="9">
        <v>9</v>
      </c>
      <c r="B17" s="18">
        <v>1007</v>
      </c>
      <c r="C17" s="17">
        <v>52017.299999999996</v>
      </c>
    </row>
    <row r="18" spans="1:3" x14ac:dyDescent="0.25">
      <c r="A18" s="9">
        <v>10</v>
      </c>
      <c r="B18" s="18">
        <v>1128</v>
      </c>
      <c r="C18" s="17">
        <v>64915.700000000033</v>
      </c>
    </row>
    <row r="19" spans="1:3" x14ac:dyDescent="0.25">
      <c r="A19" s="9">
        <v>11</v>
      </c>
      <c r="B19" s="18">
        <v>861</v>
      </c>
      <c r="C19" s="17">
        <v>45943.80000000001</v>
      </c>
    </row>
    <row r="20" spans="1:3" x14ac:dyDescent="0.25">
      <c r="A20" s="9">
        <v>12</v>
      </c>
      <c r="B20" s="18">
        <v>944</v>
      </c>
      <c r="C20" s="17">
        <v>55077.900000000031</v>
      </c>
    </row>
    <row r="21" spans="1:3" x14ac:dyDescent="0.25">
      <c r="A21" s="9">
        <v>13</v>
      </c>
      <c r="B21" s="18">
        <v>788</v>
      </c>
      <c r="C21" s="17">
        <v>45926.19999999999</v>
      </c>
    </row>
    <row r="22" spans="1:3" x14ac:dyDescent="0.25">
      <c r="A22" s="9" t="s">
        <v>2535</v>
      </c>
      <c r="B22" s="18"/>
      <c r="C22" s="17"/>
    </row>
    <row r="23" spans="1:3" x14ac:dyDescent="0.25">
      <c r="A23" s="9" t="s">
        <v>2529</v>
      </c>
      <c r="B23" s="18">
        <v>11997</v>
      </c>
      <c r="C23" s="17">
        <v>649019.79999999993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71520-B0F7-4920-8123-8629FC59F651}">
  <dimension ref="A3:M11"/>
  <sheetViews>
    <sheetView workbookViewId="0">
      <selection activeCell="G7" sqref="G7"/>
    </sheetView>
  </sheetViews>
  <sheetFormatPr defaultRowHeight="15" x14ac:dyDescent="0.25"/>
  <cols>
    <col min="1" max="1" width="14.85546875" bestFit="1" customWidth="1"/>
    <col min="2" max="2" width="16.85546875" bestFit="1" customWidth="1"/>
    <col min="3" max="3" width="7.140625" bestFit="1" customWidth="1"/>
    <col min="4" max="4" width="6.140625" bestFit="1" customWidth="1"/>
    <col min="5" max="5" width="9.28515625" bestFit="1" customWidth="1"/>
    <col min="6" max="6" width="7.28515625" bestFit="1" customWidth="1"/>
    <col min="7" max="7" width="11.28515625" bestFit="1" customWidth="1"/>
    <col min="9" max="9" width="11.28515625" bestFit="1" customWidth="1"/>
    <col min="10" max="10" width="11.28515625" customWidth="1"/>
    <col min="11" max="11" width="11.5703125" customWidth="1"/>
    <col min="12" max="12" width="9.85546875" customWidth="1"/>
  </cols>
  <sheetData>
    <row r="3" spans="1:13" x14ac:dyDescent="0.25">
      <c r="A3" s="8" t="s">
        <v>2521</v>
      </c>
      <c r="B3" s="8" t="s">
        <v>2530</v>
      </c>
      <c r="I3" t="s">
        <v>2536</v>
      </c>
    </row>
    <row r="4" spans="1:13" ht="18.75" customHeight="1" thickBot="1" x14ac:dyDescent="0.3">
      <c r="A4" s="8" t="s">
        <v>2528</v>
      </c>
      <c r="B4" t="s">
        <v>2531</v>
      </c>
      <c r="C4" t="s">
        <v>2532</v>
      </c>
      <c r="D4" t="s">
        <v>2533</v>
      </c>
      <c r="E4" t="s">
        <v>2534</v>
      </c>
      <c r="F4" t="s">
        <v>2535</v>
      </c>
      <c r="G4" t="s">
        <v>2529</v>
      </c>
      <c r="J4" s="11" t="str">
        <f>B4</f>
        <v>Female</v>
      </c>
      <c r="K4" s="11" t="str">
        <f t="shared" ref="K4:M5" si="0">C4</f>
        <v>Male</v>
      </c>
      <c r="L4" s="11" t="str">
        <f t="shared" si="0"/>
        <v>Other</v>
      </c>
      <c r="M4" s="11" t="str">
        <f t="shared" si="0"/>
        <v>Unknown</v>
      </c>
    </row>
    <row r="5" spans="1:13" ht="17.25" thickTop="1" thickBot="1" x14ac:dyDescent="0.3">
      <c r="A5" s="9" t="s">
        <v>18</v>
      </c>
      <c r="B5" s="10">
        <v>0.18961825201634841</v>
      </c>
      <c r="C5" s="10">
        <v>0.12262322351336576</v>
      </c>
      <c r="D5" s="10">
        <v>1.060537752469185E-2</v>
      </c>
      <c r="E5" s="10">
        <v>3.0599220547662797E-2</v>
      </c>
      <c r="F5" s="10">
        <v>0</v>
      </c>
      <c r="G5" s="10">
        <v>0.35344607360206881</v>
      </c>
      <c r="I5" s="12" t="str">
        <f>A5</f>
        <v>App</v>
      </c>
      <c r="J5" s="13">
        <f t="shared" ref="J5" si="1">B5</f>
        <v>0.18961825201634841</v>
      </c>
      <c r="K5" s="13">
        <f t="shared" si="0"/>
        <v>0.12262322351336576</v>
      </c>
      <c r="L5" s="13">
        <f t="shared" si="0"/>
        <v>1.060537752469185E-2</v>
      </c>
      <c r="M5" s="13">
        <f t="shared" si="0"/>
        <v>3.0599220547662797E-2</v>
      </c>
    </row>
    <row r="6" spans="1:13" ht="17.25" thickTop="1" thickBot="1" x14ac:dyDescent="0.3">
      <c r="A6" s="9" t="s">
        <v>51</v>
      </c>
      <c r="B6" s="10">
        <v>5.0283982091147303E-2</v>
      </c>
      <c r="C6" s="10">
        <v>4.3060781812819873E-2</v>
      </c>
      <c r="D6" s="10">
        <v>1.5320025675641944E-3</v>
      </c>
      <c r="E6" s="10">
        <v>1.7794988689097006E-2</v>
      </c>
      <c r="F6" s="10">
        <v>0</v>
      </c>
      <c r="G6" s="10">
        <v>0.11267175516062837</v>
      </c>
      <c r="I6" s="12" t="str">
        <f t="shared" ref="I6:I9" si="2">A6</f>
        <v>Instagram</v>
      </c>
      <c r="J6" s="13">
        <f t="shared" ref="J6:J9" si="3">B6</f>
        <v>5.0283982091147303E-2</v>
      </c>
      <c r="K6" s="13">
        <f t="shared" ref="K6:K9" si="4">C6</f>
        <v>4.3060781812819873E-2</v>
      </c>
      <c r="L6" s="13">
        <f t="shared" ref="L6:L9" si="5">D6</f>
        <v>1.5320025675641944E-3</v>
      </c>
      <c r="M6" s="13">
        <f t="shared" ref="M6:M9" si="6">E6</f>
        <v>1.7794988689097006E-2</v>
      </c>
    </row>
    <row r="7" spans="1:13" ht="17.25" thickTop="1" thickBot="1" x14ac:dyDescent="0.3">
      <c r="A7" s="9" t="s">
        <v>70</v>
      </c>
      <c r="B7" s="10">
        <v>6.3496059750411282E-2</v>
      </c>
      <c r="C7" s="10">
        <v>4.6071629863988765E-2</v>
      </c>
      <c r="D7" s="10">
        <v>2.306247051322625E-3</v>
      </c>
      <c r="E7" s="10">
        <v>3.8927934093844286E-3</v>
      </c>
      <c r="F7" s="10">
        <v>0</v>
      </c>
      <c r="G7" s="10">
        <v>0.11576673007510711</v>
      </c>
      <c r="I7" s="12" t="str">
        <f t="shared" si="2"/>
        <v>Partner App</v>
      </c>
      <c r="J7" s="13">
        <f t="shared" si="3"/>
        <v>6.3496059750411282E-2</v>
      </c>
      <c r="K7" s="13">
        <f t="shared" si="4"/>
        <v>4.6071629863988765E-2</v>
      </c>
      <c r="L7" s="13">
        <f t="shared" si="5"/>
        <v>2.306247051322625E-3</v>
      </c>
      <c r="M7" s="13">
        <f t="shared" si="6"/>
        <v>3.8927934093844286E-3</v>
      </c>
    </row>
    <row r="8" spans="1:13" ht="17.25" thickTop="1" thickBot="1" x14ac:dyDescent="0.3">
      <c r="A8" s="9" t="s">
        <v>40</v>
      </c>
      <c r="B8" s="10">
        <v>9.6337892927149532E-2</v>
      </c>
      <c r="C8" s="10">
        <v>6.7920115842382611E-2</v>
      </c>
      <c r="D8" s="10">
        <v>5.4979832664581261E-3</v>
      </c>
      <c r="E8" s="10">
        <v>1.2933041488102518E-2</v>
      </c>
      <c r="F8" s="10">
        <v>0</v>
      </c>
      <c r="G8" s="10">
        <v>0.1826890335240928</v>
      </c>
      <c r="I8" s="12" t="str">
        <f t="shared" si="2"/>
        <v>Target.com</v>
      </c>
      <c r="J8" s="13">
        <f t="shared" si="3"/>
        <v>9.6337892927149532E-2</v>
      </c>
      <c r="K8" s="13">
        <f t="shared" si="4"/>
        <v>6.7920115842382611E-2</v>
      </c>
      <c r="L8" s="13">
        <f t="shared" si="5"/>
        <v>5.4979832664581261E-3</v>
      </c>
      <c r="M8" s="13">
        <f t="shared" si="6"/>
        <v>1.2933041488102518E-2</v>
      </c>
    </row>
    <row r="9" spans="1:13" ht="17.25" thickTop="1" thickBot="1" x14ac:dyDescent="0.3">
      <c r="A9" s="9" t="s">
        <v>35</v>
      </c>
      <c r="B9" s="10">
        <v>0.12522098709469262</v>
      </c>
      <c r="C9" s="10">
        <v>9.1492740283116228E-2</v>
      </c>
      <c r="D9" s="10">
        <v>6.3042760790965081E-3</v>
      </c>
      <c r="E9" s="10">
        <v>1.2408404181197551E-2</v>
      </c>
      <c r="F9" s="10">
        <v>0</v>
      </c>
      <c r="G9" s="10">
        <v>0.23542640763810288</v>
      </c>
      <c r="I9" s="12" t="str">
        <f t="shared" si="2"/>
        <v>Website</v>
      </c>
      <c r="J9" s="13">
        <f t="shared" si="3"/>
        <v>0.12522098709469262</v>
      </c>
      <c r="K9" s="13">
        <f t="shared" si="4"/>
        <v>9.1492740283116228E-2</v>
      </c>
      <c r="L9" s="13">
        <f t="shared" si="5"/>
        <v>6.3042760790965081E-3</v>
      </c>
      <c r="M9" s="13">
        <f t="shared" si="6"/>
        <v>1.2408404181197551E-2</v>
      </c>
    </row>
    <row r="10" spans="1:13" ht="15.75" thickTop="1" x14ac:dyDescent="0.25">
      <c r="A10" s="9" t="s">
        <v>2535</v>
      </c>
      <c r="B10" s="10">
        <v>0</v>
      </c>
      <c r="C10" s="10">
        <v>0</v>
      </c>
      <c r="D10" s="10">
        <v>0</v>
      </c>
      <c r="E10" s="10">
        <v>0</v>
      </c>
      <c r="F10" s="10">
        <v>0</v>
      </c>
      <c r="G10" s="10">
        <v>0</v>
      </c>
    </row>
    <row r="11" spans="1:13" x14ac:dyDescent="0.25">
      <c r="A11" s="9" t="s">
        <v>2529</v>
      </c>
      <c r="B11" s="10">
        <v>0.52495717387974916</v>
      </c>
      <c r="C11" s="10">
        <v>0.3711684913156732</v>
      </c>
      <c r="D11" s="10">
        <v>2.6245886489133303E-2</v>
      </c>
      <c r="E11" s="10">
        <v>7.7628448315444312E-2</v>
      </c>
      <c r="F11" s="10">
        <v>0</v>
      </c>
      <c r="G11" s="10">
        <v>1</v>
      </c>
    </row>
  </sheetData>
  <conditionalFormatting sqref="J5:M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CE1B5-4983-4515-8C25-BEFA7B718947}">
  <dimension ref="A3:B11"/>
  <sheetViews>
    <sheetView topLeftCell="A2" workbookViewId="0">
      <selection activeCell="B9" sqref="B9"/>
    </sheetView>
  </sheetViews>
  <sheetFormatPr defaultRowHeight="15" x14ac:dyDescent="0.25"/>
  <cols>
    <col min="1" max="1" width="13.42578125" bestFit="1" customWidth="1"/>
    <col min="2" max="2" width="14" bestFit="1" customWidth="1"/>
  </cols>
  <sheetData>
    <row r="3" spans="1:2" x14ac:dyDescent="0.25">
      <c r="A3" s="8" t="s">
        <v>2528</v>
      </c>
      <c r="B3" t="s">
        <v>2519</v>
      </c>
    </row>
    <row r="4" spans="1:2" x14ac:dyDescent="0.25">
      <c r="A4" s="9">
        <v>1</v>
      </c>
      <c r="B4" s="18">
        <v>397</v>
      </c>
    </row>
    <row r="5" spans="1:2" x14ac:dyDescent="0.25">
      <c r="A5" s="9">
        <v>2</v>
      </c>
      <c r="B5" s="18">
        <v>540</v>
      </c>
    </row>
    <row r="6" spans="1:2" x14ac:dyDescent="0.25">
      <c r="A6" s="9">
        <v>3</v>
      </c>
      <c r="B6" s="18">
        <v>375</v>
      </c>
    </row>
    <row r="7" spans="1:2" x14ac:dyDescent="0.25">
      <c r="A7" s="9">
        <v>4</v>
      </c>
      <c r="B7" s="18">
        <v>246</v>
      </c>
    </row>
    <row r="8" spans="1:2" x14ac:dyDescent="0.25">
      <c r="A8" s="9">
        <v>5</v>
      </c>
      <c r="B8" s="18">
        <v>195</v>
      </c>
    </row>
    <row r="9" spans="1:2" x14ac:dyDescent="0.25">
      <c r="A9" s="9" t="s">
        <v>2537</v>
      </c>
      <c r="B9" s="18">
        <v>414</v>
      </c>
    </row>
    <row r="10" spans="1:2" x14ac:dyDescent="0.25">
      <c r="A10" s="9" t="s">
        <v>2538</v>
      </c>
      <c r="B10" s="18">
        <v>233</v>
      </c>
    </row>
    <row r="11" spans="1:2" x14ac:dyDescent="0.25">
      <c r="A11" s="9" t="s">
        <v>2529</v>
      </c>
      <c r="B11" s="18">
        <v>2400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48202-8ABA-4AB6-829C-9F489E9E7C1B}">
  <dimension ref="A3:M62"/>
  <sheetViews>
    <sheetView topLeftCell="A37" workbookViewId="0">
      <selection activeCell="C13" sqref="C13"/>
    </sheetView>
  </sheetViews>
  <sheetFormatPr defaultRowHeight="15" x14ac:dyDescent="0.25"/>
  <cols>
    <col min="1" max="1" width="25.7109375" bestFit="1" customWidth="1"/>
    <col min="2" max="2" width="22" bestFit="1" customWidth="1"/>
    <col min="3" max="3" width="14.85546875" bestFit="1" customWidth="1"/>
    <col min="4" max="4" width="15.5703125" bestFit="1" customWidth="1"/>
    <col min="7" max="7" width="9.85546875" bestFit="1" customWidth="1"/>
    <col min="8" max="8" width="22" bestFit="1" customWidth="1"/>
    <col min="9" max="9" width="15.5703125" bestFit="1" customWidth="1"/>
    <col min="11" max="11" width="9.85546875" bestFit="1" customWidth="1"/>
    <col min="12" max="12" width="22" bestFit="1" customWidth="1"/>
    <col min="13" max="13" width="14.85546875" bestFit="1" customWidth="1"/>
  </cols>
  <sheetData>
    <row r="3" spans="1:13" x14ac:dyDescent="0.25">
      <c r="A3" s="8" t="s">
        <v>10</v>
      </c>
      <c r="B3" s="8" t="s">
        <v>11</v>
      </c>
      <c r="C3" t="s">
        <v>2521</v>
      </c>
      <c r="D3" t="s">
        <v>2520</v>
      </c>
      <c r="G3" s="5" t="s">
        <v>10</v>
      </c>
      <c r="H3" s="5" t="s">
        <v>11</v>
      </c>
      <c r="I3" s="5" t="s">
        <v>2520</v>
      </c>
      <c r="K3" s="5" t="s">
        <v>10</v>
      </c>
      <c r="L3" s="5" t="s">
        <v>11</v>
      </c>
      <c r="M3" s="5" t="s">
        <v>2521</v>
      </c>
    </row>
    <row r="4" spans="1:13" x14ac:dyDescent="0.25">
      <c r="A4" t="s">
        <v>19</v>
      </c>
      <c r="B4" t="s">
        <v>115</v>
      </c>
      <c r="C4" s="18">
        <v>31884.999999999996</v>
      </c>
      <c r="D4" s="18">
        <v>579</v>
      </c>
      <c r="G4" s="7" t="s">
        <v>19</v>
      </c>
      <c r="H4" t="s">
        <v>115</v>
      </c>
      <c r="I4">
        <v>579</v>
      </c>
      <c r="K4" s="7" t="s">
        <v>19</v>
      </c>
      <c r="L4" t="s">
        <v>115</v>
      </c>
      <c r="M4">
        <v>31884.999999999996</v>
      </c>
    </row>
    <row r="5" spans="1:13" x14ac:dyDescent="0.25">
      <c r="A5" t="s">
        <v>19</v>
      </c>
      <c r="B5" t="s">
        <v>20</v>
      </c>
      <c r="C5" s="18">
        <v>10.9</v>
      </c>
      <c r="D5" s="18">
        <v>1</v>
      </c>
      <c r="G5" s="7" t="s">
        <v>19</v>
      </c>
      <c r="H5" t="s">
        <v>20</v>
      </c>
      <c r="I5">
        <v>1</v>
      </c>
      <c r="K5" s="7" t="s">
        <v>19</v>
      </c>
      <c r="L5" t="s">
        <v>20</v>
      </c>
      <c r="M5">
        <v>10.9</v>
      </c>
    </row>
    <row r="6" spans="1:13" x14ac:dyDescent="0.25">
      <c r="A6" t="s">
        <v>19</v>
      </c>
      <c r="B6" t="s">
        <v>641</v>
      </c>
      <c r="C6" s="18">
        <v>800.3</v>
      </c>
      <c r="D6" s="18">
        <v>9</v>
      </c>
      <c r="G6" s="7" t="s">
        <v>19</v>
      </c>
      <c r="H6" t="s">
        <v>641</v>
      </c>
      <c r="I6">
        <v>9</v>
      </c>
      <c r="K6" s="7" t="s">
        <v>19</v>
      </c>
      <c r="L6" t="s">
        <v>641</v>
      </c>
      <c r="M6">
        <v>800.3</v>
      </c>
    </row>
    <row r="7" spans="1:13" x14ac:dyDescent="0.25">
      <c r="A7" t="s">
        <v>19</v>
      </c>
      <c r="B7" t="s">
        <v>967</v>
      </c>
      <c r="C7" s="18">
        <v>1062.5999999999999</v>
      </c>
      <c r="D7" s="18">
        <v>35</v>
      </c>
      <c r="G7" s="7" t="s">
        <v>19</v>
      </c>
      <c r="H7" t="s">
        <v>967</v>
      </c>
      <c r="I7">
        <v>35</v>
      </c>
      <c r="K7" s="7" t="s">
        <v>19</v>
      </c>
      <c r="L7" t="s">
        <v>967</v>
      </c>
      <c r="M7">
        <v>1062.5999999999999</v>
      </c>
    </row>
    <row r="8" spans="1:13" x14ac:dyDescent="0.25">
      <c r="A8" t="s">
        <v>19</v>
      </c>
      <c r="B8" t="s">
        <v>84</v>
      </c>
      <c r="C8" s="18">
        <v>326.20000000000005</v>
      </c>
      <c r="D8" s="18">
        <v>12</v>
      </c>
      <c r="G8" s="7" t="s">
        <v>19</v>
      </c>
      <c r="H8" t="s">
        <v>84</v>
      </c>
      <c r="I8">
        <v>12</v>
      </c>
      <c r="K8" s="7" t="s">
        <v>19</v>
      </c>
      <c r="L8" t="s">
        <v>84</v>
      </c>
      <c r="M8">
        <v>326.20000000000005</v>
      </c>
    </row>
    <row r="9" spans="1:13" x14ac:dyDescent="0.25">
      <c r="A9" t="s">
        <v>19</v>
      </c>
      <c r="B9" t="s">
        <v>1383</v>
      </c>
      <c r="C9" s="18">
        <v>167.5</v>
      </c>
      <c r="D9" s="18">
        <v>4</v>
      </c>
      <c r="G9" s="7" t="s">
        <v>19</v>
      </c>
      <c r="H9" t="s">
        <v>1383</v>
      </c>
      <c r="I9">
        <v>4</v>
      </c>
      <c r="K9" s="7" t="s">
        <v>19</v>
      </c>
      <c r="L9" t="s">
        <v>1383</v>
      </c>
      <c r="M9">
        <v>167.5</v>
      </c>
    </row>
    <row r="10" spans="1:13" x14ac:dyDescent="0.25">
      <c r="A10" t="s">
        <v>19</v>
      </c>
      <c r="B10" t="s">
        <v>24</v>
      </c>
      <c r="C10" s="18">
        <v>16168.7</v>
      </c>
      <c r="D10" s="18">
        <v>341</v>
      </c>
      <c r="G10" s="7" t="s">
        <v>19</v>
      </c>
      <c r="H10" t="s">
        <v>24</v>
      </c>
      <c r="I10">
        <v>341</v>
      </c>
      <c r="K10" s="7" t="s">
        <v>19</v>
      </c>
      <c r="L10" t="s">
        <v>24</v>
      </c>
      <c r="M10">
        <v>16168.7</v>
      </c>
    </row>
    <row r="11" spans="1:13" x14ac:dyDescent="0.25">
      <c r="A11" t="s">
        <v>19</v>
      </c>
      <c r="B11" t="s">
        <v>2204</v>
      </c>
      <c r="C11" s="18">
        <v>322.40000000000003</v>
      </c>
      <c r="D11" s="18">
        <v>13</v>
      </c>
      <c r="G11" s="7" t="s">
        <v>19</v>
      </c>
      <c r="H11" t="s">
        <v>2204</v>
      </c>
      <c r="I11">
        <v>13</v>
      </c>
      <c r="K11" s="7" t="s">
        <v>19</v>
      </c>
      <c r="L11" t="s">
        <v>2204</v>
      </c>
      <c r="M11">
        <v>322.40000000000003</v>
      </c>
    </row>
    <row r="12" spans="1:13" x14ac:dyDescent="0.25">
      <c r="A12" t="s">
        <v>19</v>
      </c>
      <c r="B12" t="s">
        <v>437</v>
      </c>
      <c r="C12" s="18">
        <v>2092.8000000000002</v>
      </c>
      <c r="D12" s="18">
        <v>31</v>
      </c>
      <c r="G12" s="7" t="s">
        <v>19</v>
      </c>
      <c r="H12" t="s">
        <v>437</v>
      </c>
      <c r="I12">
        <v>31</v>
      </c>
      <c r="K12" s="7" t="s">
        <v>19</v>
      </c>
      <c r="L12" t="s">
        <v>437</v>
      </c>
      <c r="M12">
        <v>2092.8000000000002</v>
      </c>
    </row>
    <row r="13" spans="1:13" x14ac:dyDescent="0.25">
      <c r="A13" t="s">
        <v>19</v>
      </c>
      <c r="B13" t="s">
        <v>28</v>
      </c>
      <c r="C13" s="18">
        <v>12662.500000000002</v>
      </c>
      <c r="D13" s="18">
        <v>279</v>
      </c>
      <c r="G13" s="7" t="s">
        <v>19</v>
      </c>
      <c r="H13" t="s">
        <v>28</v>
      </c>
      <c r="I13">
        <v>279</v>
      </c>
      <c r="K13" s="7" t="s">
        <v>19</v>
      </c>
      <c r="L13" t="s">
        <v>28</v>
      </c>
      <c r="M13">
        <v>12662.500000000002</v>
      </c>
    </row>
    <row r="14" spans="1:13" x14ac:dyDescent="0.25">
      <c r="A14" t="s">
        <v>19</v>
      </c>
      <c r="B14" t="s">
        <v>208</v>
      </c>
      <c r="C14" s="18">
        <v>343.2</v>
      </c>
      <c r="D14" s="18">
        <v>9</v>
      </c>
      <c r="G14" s="7" t="s">
        <v>19</v>
      </c>
      <c r="H14" t="s">
        <v>208</v>
      </c>
      <c r="I14">
        <v>9</v>
      </c>
      <c r="K14" s="7" t="s">
        <v>19</v>
      </c>
      <c r="L14" t="s">
        <v>208</v>
      </c>
      <c r="M14">
        <v>343.2</v>
      </c>
    </row>
    <row r="15" spans="1:13" x14ac:dyDescent="0.25">
      <c r="A15" t="s">
        <v>19</v>
      </c>
      <c r="B15" t="s">
        <v>587</v>
      </c>
      <c r="C15" s="18">
        <v>2188.2999999999997</v>
      </c>
      <c r="D15" s="18">
        <v>49</v>
      </c>
      <c r="G15" s="7" t="s">
        <v>19</v>
      </c>
      <c r="H15" t="s">
        <v>587</v>
      </c>
      <c r="I15">
        <v>49</v>
      </c>
      <c r="K15" s="7" t="s">
        <v>19</v>
      </c>
      <c r="L15" t="s">
        <v>587</v>
      </c>
      <c r="M15">
        <v>2188.2999999999997</v>
      </c>
    </row>
    <row r="16" spans="1:13" x14ac:dyDescent="0.25">
      <c r="A16" t="s">
        <v>19</v>
      </c>
      <c r="B16" t="s">
        <v>331</v>
      </c>
      <c r="C16" s="18">
        <v>2661.5999999999995</v>
      </c>
      <c r="D16" s="18">
        <v>59</v>
      </c>
      <c r="G16" s="7" t="s">
        <v>19</v>
      </c>
      <c r="H16" t="s">
        <v>331</v>
      </c>
      <c r="I16">
        <v>59</v>
      </c>
      <c r="K16" s="7" t="s">
        <v>19</v>
      </c>
      <c r="L16" t="s">
        <v>331</v>
      </c>
      <c r="M16">
        <v>2661.5999999999995</v>
      </c>
    </row>
    <row r="17" spans="1:13" x14ac:dyDescent="0.25">
      <c r="A17" t="s">
        <v>19</v>
      </c>
      <c r="B17" t="s">
        <v>86</v>
      </c>
      <c r="C17" s="18">
        <v>887.5</v>
      </c>
      <c r="D17" s="18">
        <v>8</v>
      </c>
      <c r="G17" s="7" t="s">
        <v>19</v>
      </c>
      <c r="H17" t="s">
        <v>86</v>
      </c>
      <c r="I17">
        <v>8</v>
      </c>
      <c r="K17" s="7" t="s">
        <v>19</v>
      </c>
      <c r="L17" t="s">
        <v>86</v>
      </c>
      <c r="M17">
        <v>887.5</v>
      </c>
    </row>
    <row r="18" spans="1:13" x14ac:dyDescent="0.25">
      <c r="A18" t="s">
        <v>19</v>
      </c>
      <c r="B18" t="s">
        <v>147</v>
      </c>
      <c r="C18" s="18">
        <v>11354.199999999993</v>
      </c>
      <c r="D18" s="18">
        <v>222</v>
      </c>
      <c r="G18" s="7" t="s">
        <v>19</v>
      </c>
      <c r="H18" t="s">
        <v>147</v>
      </c>
      <c r="I18">
        <v>222</v>
      </c>
      <c r="K18" s="7" t="s">
        <v>19</v>
      </c>
      <c r="L18" t="s">
        <v>147</v>
      </c>
      <c r="M18">
        <v>11354.199999999993</v>
      </c>
    </row>
    <row r="19" spans="1:13" x14ac:dyDescent="0.25">
      <c r="A19" t="s">
        <v>19</v>
      </c>
      <c r="B19" t="s">
        <v>334</v>
      </c>
      <c r="C19" s="18">
        <v>1558.4</v>
      </c>
      <c r="D19" s="18">
        <v>36</v>
      </c>
      <c r="G19" s="7" t="s">
        <v>19</v>
      </c>
      <c r="H19" t="s">
        <v>334</v>
      </c>
      <c r="I19">
        <v>36</v>
      </c>
      <c r="K19" s="7" t="s">
        <v>19</v>
      </c>
      <c r="L19" t="s">
        <v>334</v>
      </c>
      <c r="M19">
        <v>1558.4</v>
      </c>
    </row>
    <row r="20" spans="1:13" x14ac:dyDescent="0.25">
      <c r="A20" t="s">
        <v>19</v>
      </c>
      <c r="B20" t="s">
        <v>949</v>
      </c>
      <c r="C20" s="18">
        <v>2223.9</v>
      </c>
      <c r="D20" s="18">
        <v>30</v>
      </c>
      <c r="G20" s="7" t="s">
        <v>19</v>
      </c>
      <c r="H20" t="s">
        <v>949</v>
      </c>
      <c r="I20">
        <v>30</v>
      </c>
      <c r="K20" s="7" t="s">
        <v>19</v>
      </c>
      <c r="L20" t="s">
        <v>949</v>
      </c>
      <c r="M20">
        <v>2223.9</v>
      </c>
    </row>
    <row r="21" spans="1:13" x14ac:dyDescent="0.25">
      <c r="A21" t="s">
        <v>19</v>
      </c>
      <c r="B21" t="s">
        <v>1426</v>
      </c>
      <c r="C21" s="18">
        <v>26.2</v>
      </c>
      <c r="D21" s="18">
        <v>1</v>
      </c>
      <c r="G21" s="7" t="s">
        <v>19</v>
      </c>
      <c r="H21" t="s">
        <v>1426</v>
      </c>
      <c r="I21">
        <v>1</v>
      </c>
      <c r="K21" s="7" t="s">
        <v>19</v>
      </c>
      <c r="L21" t="s">
        <v>1426</v>
      </c>
      <c r="M21">
        <v>26.2</v>
      </c>
    </row>
    <row r="22" spans="1:13" x14ac:dyDescent="0.25">
      <c r="A22" t="s">
        <v>19</v>
      </c>
      <c r="B22" t="s">
        <v>33</v>
      </c>
      <c r="C22" s="18">
        <v>215551.19999999981</v>
      </c>
      <c r="D22" s="18">
        <v>3991</v>
      </c>
      <c r="G22" s="7" t="s">
        <v>19</v>
      </c>
      <c r="H22" t="s">
        <v>33</v>
      </c>
      <c r="I22">
        <v>3991</v>
      </c>
      <c r="K22" s="7" t="s">
        <v>19</v>
      </c>
      <c r="L22" t="s">
        <v>33</v>
      </c>
      <c r="M22">
        <v>215551.19999999981</v>
      </c>
    </row>
    <row r="23" spans="1:13" x14ac:dyDescent="0.25">
      <c r="A23" t="s">
        <v>19</v>
      </c>
      <c r="B23" t="s">
        <v>364</v>
      </c>
      <c r="C23" s="18">
        <v>2687.3999999999996</v>
      </c>
      <c r="D23" s="18">
        <v>45</v>
      </c>
      <c r="G23" s="7" t="s">
        <v>19</v>
      </c>
      <c r="H23" t="s">
        <v>364</v>
      </c>
      <c r="I23">
        <v>45</v>
      </c>
      <c r="K23" s="7" t="s">
        <v>19</v>
      </c>
      <c r="L23" t="s">
        <v>364</v>
      </c>
      <c r="M23">
        <v>2687.3999999999996</v>
      </c>
    </row>
    <row r="24" spans="1:13" x14ac:dyDescent="0.25">
      <c r="A24" t="s">
        <v>19</v>
      </c>
      <c r="B24" t="s">
        <v>545</v>
      </c>
      <c r="C24" s="18">
        <v>1463.3000000000002</v>
      </c>
      <c r="D24" s="18">
        <v>39</v>
      </c>
      <c r="G24" s="7" t="s">
        <v>19</v>
      </c>
      <c r="H24" t="s">
        <v>545</v>
      </c>
      <c r="I24">
        <v>39</v>
      </c>
      <c r="K24" s="7" t="s">
        <v>19</v>
      </c>
      <c r="L24" t="s">
        <v>545</v>
      </c>
      <c r="M24">
        <v>1463.3000000000002</v>
      </c>
    </row>
    <row r="25" spans="1:13" x14ac:dyDescent="0.25">
      <c r="A25" t="s">
        <v>19</v>
      </c>
      <c r="B25" t="s">
        <v>416</v>
      </c>
      <c r="C25" s="18">
        <v>445.79999999999995</v>
      </c>
      <c r="D25" s="18">
        <v>6</v>
      </c>
      <c r="G25" s="7" t="s">
        <v>19</v>
      </c>
      <c r="H25" t="s">
        <v>416</v>
      </c>
      <c r="I25">
        <v>6</v>
      </c>
      <c r="K25" s="7" t="s">
        <v>19</v>
      </c>
      <c r="L25" t="s">
        <v>416</v>
      </c>
      <c r="M25">
        <v>445.79999999999995</v>
      </c>
    </row>
    <row r="26" spans="1:13" x14ac:dyDescent="0.25">
      <c r="A26" t="s">
        <v>19</v>
      </c>
      <c r="B26" t="s">
        <v>258</v>
      </c>
      <c r="C26" s="18">
        <v>273.59999999999997</v>
      </c>
      <c r="D26" s="18">
        <v>9</v>
      </c>
      <c r="G26" s="7" t="s">
        <v>19</v>
      </c>
      <c r="H26" t="s">
        <v>258</v>
      </c>
      <c r="I26">
        <v>9</v>
      </c>
      <c r="K26" s="7" t="s">
        <v>19</v>
      </c>
      <c r="L26" t="s">
        <v>258</v>
      </c>
      <c r="M26">
        <v>273.59999999999997</v>
      </c>
    </row>
    <row r="27" spans="1:13" x14ac:dyDescent="0.25">
      <c r="A27" t="s">
        <v>19</v>
      </c>
      <c r="B27" t="s">
        <v>186</v>
      </c>
      <c r="C27" s="18">
        <v>2690.4</v>
      </c>
      <c r="D27" s="18">
        <v>60</v>
      </c>
      <c r="G27" s="7" t="s">
        <v>19</v>
      </c>
      <c r="H27" t="s">
        <v>186</v>
      </c>
      <c r="I27">
        <v>60</v>
      </c>
      <c r="K27" s="7" t="s">
        <v>19</v>
      </c>
      <c r="L27" t="s">
        <v>186</v>
      </c>
      <c r="M27">
        <v>2690.4</v>
      </c>
    </row>
    <row r="28" spans="1:13" x14ac:dyDescent="0.25">
      <c r="A28" t="s">
        <v>19</v>
      </c>
      <c r="B28" t="s">
        <v>392</v>
      </c>
      <c r="C28" s="18">
        <v>28.4</v>
      </c>
      <c r="D28" s="18">
        <v>2</v>
      </c>
      <c r="G28" s="7" t="s">
        <v>19</v>
      </c>
      <c r="H28" t="s">
        <v>392</v>
      </c>
      <c r="I28">
        <v>2</v>
      </c>
      <c r="K28" s="7" t="s">
        <v>19</v>
      </c>
      <c r="L28" t="s">
        <v>392</v>
      </c>
      <c r="M28">
        <v>28.4</v>
      </c>
    </row>
    <row r="29" spans="1:13" x14ac:dyDescent="0.25">
      <c r="A29" t="s">
        <v>19</v>
      </c>
      <c r="B29" t="s">
        <v>670</v>
      </c>
      <c r="C29" s="18">
        <v>204.8</v>
      </c>
      <c r="D29" s="18">
        <v>4</v>
      </c>
      <c r="G29" s="7" t="s">
        <v>19</v>
      </c>
      <c r="H29" t="s">
        <v>670</v>
      </c>
      <c r="I29">
        <v>4</v>
      </c>
      <c r="K29" s="7" t="s">
        <v>19</v>
      </c>
      <c r="L29" t="s">
        <v>670</v>
      </c>
      <c r="M29">
        <v>204.8</v>
      </c>
    </row>
    <row r="30" spans="1:13" x14ac:dyDescent="0.25">
      <c r="A30" t="s">
        <v>19</v>
      </c>
      <c r="B30" t="s">
        <v>802</v>
      </c>
      <c r="C30" s="18">
        <v>1607.8999999999999</v>
      </c>
      <c r="D30" s="18">
        <v>31</v>
      </c>
      <c r="G30" s="7" t="s">
        <v>19</v>
      </c>
      <c r="H30" t="s">
        <v>802</v>
      </c>
      <c r="I30">
        <v>31</v>
      </c>
      <c r="K30" s="7" t="s">
        <v>19</v>
      </c>
      <c r="L30" t="s">
        <v>802</v>
      </c>
      <c r="M30">
        <v>1607.8999999999999</v>
      </c>
    </row>
    <row r="31" spans="1:13" x14ac:dyDescent="0.25">
      <c r="A31" t="s">
        <v>19</v>
      </c>
      <c r="B31" t="s">
        <v>98</v>
      </c>
      <c r="C31" s="18">
        <v>6444.9</v>
      </c>
      <c r="D31" s="18">
        <v>88</v>
      </c>
      <c r="G31" s="7" t="s">
        <v>19</v>
      </c>
      <c r="H31" t="s">
        <v>98</v>
      </c>
      <c r="I31">
        <v>88</v>
      </c>
      <c r="K31" s="7" t="s">
        <v>19</v>
      </c>
      <c r="L31" t="s">
        <v>98</v>
      </c>
      <c r="M31">
        <v>6444.9</v>
      </c>
    </row>
    <row r="32" spans="1:13" x14ac:dyDescent="0.25">
      <c r="A32" t="s">
        <v>19</v>
      </c>
      <c r="B32" t="s">
        <v>49</v>
      </c>
      <c r="C32" s="18">
        <v>1809.3</v>
      </c>
      <c r="D32" s="18">
        <v>25</v>
      </c>
      <c r="G32" s="7" t="s">
        <v>19</v>
      </c>
      <c r="H32" t="s">
        <v>49</v>
      </c>
      <c r="I32">
        <v>25</v>
      </c>
      <c r="K32" s="7" t="s">
        <v>19</v>
      </c>
      <c r="L32" t="s">
        <v>49</v>
      </c>
      <c r="M32">
        <v>1809.3</v>
      </c>
    </row>
    <row r="33" spans="1:13" x14ac:dyDescent="0.25">
      <c r="A33" t="s">
        <v>19</v>
      </c>
      <c r="B33" t="s">
        <v>188</v>
      </c>
      <c r="C33" s="18">
        <v>9680.399999999996</v>
      </c>
      <c r="D33" s="18">
        <v>178</v>
      </c>
      <c r="G33" s="7" t="s">
        <v>19</v>
      </c>
      <c r="H33" t="s">
        <v>188</v>
      </c>
      <c r="I33">
        <v>178</v>
      </c>
      <c r="K33" s="7" t="s">
        <v>19</v>
      </c>
      <c r="L33" t="s">
        <v>188</v>
      </c>
      <c r="M33">
        <v>9680.399999999996</v>
      </c>
    </row>
    <row r="34" spans="1:13" x14ac:dyDescent="0.25">
      <c r="A34" t="s">
        <v>19</v>
      </c>
      <c r="B34" t="s">
        <v>52</v>
      </c>
      <c r="C34" s="18">
        <v>9414.7999999999993</v>
      </c>
      <c r="D34" s="18">
        <v>141</v>
      </c>
      <c r="G34" s="7" t="s">
        <v>19</v>
      </c>
      <c r="H34" t="s">
        <v>52</v>
      </c>
      <c r="I34">
        <v>141</v>
      </c>
      <c r="K34" s="7" t="s">
        <v>19</v>
      </c>
      <c r="L34" t="s">
        <v>52</v>
      </c>
      <c r="M34">
        <v>9414.7999999999993</v>
      </c>
    </row>
    <row r="35" spans="1:13" x14ac:dyDescent="0.25">
      <c r="A35" t="s">
        <v>19</v>
      </c>
      <c r="B35" t="s">
        <v>338</v>
      </c>
      <c r="C35" s="18">
        <v>206.1</v>
      </c>
      <c r="D35" s="18">
        <v>6</v>
      </c>
      <c r="G35" s="7" t="s">
        <v>19</v>
      </c>
      <c r="H35" t="s">
        <v>338</v>
      </c>
      <c r="I35">
        <v>6</v>
      </c>
      <c r="K35" s="7" t="s">
        <v>19</v>
      </c>
      <c r="L35" t="s">
        <v>338</v>
      </c>
      <c r="M35">
        <v>206.1</v>
      </c>
    </row>
    <row r="36" spans="1:13" x14ac:dyDescent="0.25">
      <c r="A36" t="s">
        <v>19</v>
      </c>
      <c r="B36" t="s">
        <v>158</v>
      </c>
      <c r="C36" s="18">
        <v>7691.3</v>
      </c>
      <c r="D36" s="18">
        <v>178</v>
      </c>
      <c r="G36" s="7" t="s">
        <v>19</v>
      </c>
      <c r="H36" t="s">
        <v>158</v>
      </c>
      <c r="I36">
        <v>178</v>
      </c>
      <c r="K36" s="7" t="s">
        <v>19</v>
      </c>
      <c r="L36" t="s">
        <v>158</v>
      </c>
      <c r="M36">
        <v>7691.3</v>
      </c>
    </row>
    <row r="37" spans="1:13" x14ac:dyDescent="0.25">
      <c r="A37" t="s">
        <v>19</v>
      </c>
      <c r="B37" t="s">
        <v>55</v>
      </c>
      <c r="C37" s="18">
        <v>37784.900000000016</v>
      </c>
      <c r="D37" s="18">
        <v>699</v>
      </c>
      <c r="G37" s="7" t="s">
        <v>19</v>
      </c>
      <c r="H37" t="s">
        <v>55</v>
      </c>
      <c r="I37">
        <v>699</v>
      </c>
      <c r="K37" s="7" t="s">
        <v>19</v>
      </c>
      <c r="L37" t="s">
        <v>55</v>
      </c>
      <c r="M37">
        <v>37784.900000000016</v>
      </c>
    </row>
    <row r="38" spans="1:13" x14ac:dyDescent="0.25">
      <c r="A38" t="s">
        <v>19</v>
      </c>
      <c r="B38" t="s">
        <v>342</v>
      </c>
      <c r="C38" s="18">
        <v>1129.7</v>
      </c>
      <c r="D38" s="18">
        <v>23</v>
      </c>
      <c r="G38" s="7" t="s">
        <v>19</v>
      </c>
      <c r="H38" t="s">
        <v>342</v>
      </c>
      <c r="I38">
        <v>23</v>
      </c>
      <c r="K38" s="7" t="s">
        <v>19</v>
      </c>
      <c r="L38" t="s">
        <v>342</v>
      </c>
      <c r="M38">
        <v>1129.7</v>
      </c>
    </row>
    <row r="39" spans="1:13" x14ac:dyDescent="0.25">
      <c r="A39" t="s">
        <v>19</v>
      </c>
      <c r="B39" t="s">
        <v>59</v>
      </c>
      <c r="C39" s="18">
        <v>20988.9</v>
      </c>
      <c r="D39" s="18">
        <v>356</v>
      </c>
      <c r="G39" s="7" t="s">
        <v>19</v>
      </c>
      <c r="H39" t="s">
        <v>59</v>
      </c>
      <c r="I39">
        <v>356</v>
      </c>
      <c r="K39" s="7" t="s">
        <v>19</v>
      </c>
      <c r="L39" t="s">
        <v>59</v>
      </c>
      <c r="M39">
        <v>20988.9</v>
      </c>
    </row>
    <row r="40" spans="1:13" x14ac:dyDescent="0.25">
      <c r="A40" t="s">
        <v>19</v>
      </c>
      <c r="B40" t="s">
        <v>62</v>
      </c>
      <c r="C40" s="18">
        <v>98367.099999999977</v>
      </c>
      <c r="D40" s="18">
        <v>1768</v>
      </c>
      <c r="G40" s="7" t="s">
        <v>19</v>
      </c>
      <c r="H40" t="s">
        <v>62</v>
      </c>
      <c r="I40">
        <v>1768</v>
      </c>
      <c r="K40" s="7" t="s">
        <v>19</v>
      </c>
      <c r="L40" t="s">
        <v>62</v>
      </c>
      <c r="M40">
        <v>98367.099999999977</v>
      </c>
    </row>
    <row r="41" spans="1:13" x14ac:dyDescent="0.25">
      <c r="A41" t="s">
        <v>19</v>
      </c>
      <c r="B41" t="s">
        <v>103</v>
      </c>
      <c r="C41" s="18">
        <v>21911.9</v>
      </c>
      <c r="D41" s="18">
        <v>307</v>
      </c>
      <c r="G41" s="7" t="s">
        <v>19</v>
      </c>
      <c r="H41" t="s">
        <v>103</v>
      </c>
      <c r="I41">
        <v>307</v>
      </c>
      <c r="K41" s="7" t="s">
        <v>19</v>
      </c>
      <c r="L41" t="s">
        <v>103</v>
      </c>
      <c r="M41">
        <v>21911.9</v>
      </c>
    </row>
    <row r="42" spans="1:13" x14ac:dyDescent="0.25">
      <c r="A42" t="s">
        <v>19</v>
      </c>
      <c r="B42" t="s">
        <v>201</v>
      </c>
      <c r="C42" s="18">
        <v>5441.2</v>
      </c>
      <c r="D42" s="18">
        <v>117</v>
      </c>
      <c r="G42" s="7" t="s">
        <v>19</v>
      </c>
      <c r="H42" t="s">
        <v>201</v>
      </c>
      <c r="I42">
        <v>117</v>
      </c>
      <c r="K42" s="7" t="s">
        <v>19</v>
      </c>
      <c r="L42" t="s">
        <v>201</v>
      </c>
      <c r="M42">
        <v>5441.2</v>
      </c>
    </row>
    <row r="43" spans="1:13" x14ac:dyDescent="0.25">
      <c r="A43" t="s">
        <v>19</v>
      </c>
      <c r="B43" t="s">
        <v>429</v>
      </c>
      <c r="C43" s="18">
        <v>392.8</v>
      </c>
      <c r="D43" s="18">
        <v>13</v>
      </c>
      <c r="G43" s="7" t="s">
        <v>19</v>
      </c>
      <c r="H43" t="s">
        <v>429</v>
      </c>
      <c r="I43">
        <v>13</v>
      </c>
      <c r="K43" s="7" t="s">
        <v>19</v>
      </c>
      <c r="L43" t="s">
        <v>429</v>
      </c>
      <c r="M43">
        <v>392.8</v>
      </c>
    </row>
    <row r="44" spans="1:13" x14ac:dyDescent="0.25">
      <c r="A44" t="s">
        <v>19</v>
      </c>
      <c r="B44" t="s">
        <v>72</v>
      </c>
      <c r="C44" s="18">
        <v>16172.000000000005</v>
      </c>
      <c r="D44" s="18">
        <v>364</v>
      </c>
      <c r="G44" s="7" t="s">
        <v>19</v>
      </c>
      <c r="H44" t="s">
        <v>72</v>
      </c>
      <c r="I44">
        <v>364</v>
      </c>
      <c r="K44" s="7" t="s">
        <v>19</v>
      </c>
      <c r="L44" t="s">
        <v>72</v>
      </c>
      <c r="M44">
        <v>16172.000000000005</v>
      </c>
    </row>
    <row r="45" spans="1:13" x14ac:dyDescent="0.25">
      <c r="A45" t="s">
        <v>19</v>
      </c>
      <c r="B45" t="s">
        <v>74</v>
      </c>
      <c r="C45" s="18">
        <v>4334.9999999999991</v>
      </c>
      <c r="D45" s="18">
        <v>95</v>
      </c>
      <c r="G45" s="7" t="s">
        <v>19</v>
      </c>
      <c r="H45" t="s">
        <v>74</v>
      </c>
      <c r="I45">
        <v>95</v>
      </c>
      <c r="K45" s="7" t="s">
        <v>19</v>
      </c>
      <c r="L45" t="s">
        <v>74</v>
      </c>
      <c r="M45">
        <v>4334.9999999999991</v>
      </c>
    </row>
    <row r="46" spans="1:13" x14ac:dyDescent="0.25">
      <c r="A46" t="s">
        <v>19</v>
      </c>
      <c r="B46" t="s">
        <v>77</v>
      </c>
      <c r="C46" s="18">
        <v>37449.000000000007</v>
      </c>
      <c r="D46" s="18">
        <v>737</v>
      </c>
      <c r="G46" s="7" t="s">
        <v>19</v>
      </c>
      <c r="H46" t="s">
        <v>77</v>
      </c>
      <c r="I46">
        <v>737</v>
      </c>
      <c r="K46" s="7" t="s">
        <v>19</v>
      </c>
      <c r="L46" t="s">
        <v>77</v>
      </c>
      <c r="M46">
        <v>37449.000000000007</v>
      </c>
    </row>
    <row r="47" spans="1:13" x14ac:dyDescent="0.25">
      <c r="A47" t="s">
        <v>19</v>
      </c>
      <c r="B47" t="s">
        <v>309</v>
      </c>
      <c r="C47" s="18">
        <v>2447.5</v>
      </c>
      <c r="D47" s="18">
        <v>39</v>
      </c>
      <c r="G47" s="7" t="s">
        <v>19</v>
      </c>
      <c r="H47" t="s">
        <v>309</v>
      </c>
      <c r="I47">
        <v>39</v>
      </c>
      <c r="K47" s="7" t="s">
        <v>19</v>
      </c>
      <c r="L47" t="s">
        <v>309</v>
      </c>
      <c r="M47">
        <v>2447.5</v>
      </c>
    </row>
    <row r="48" spans="1:13" x14ac:dyDescent="0.25">
      <c r="A48" t="s">
        <v>19</v>
      </c>
      <c r="B48" t="s">
        <v>1116</v>
      </c>
      <c r="C48" s="18">
        <v>3391.1</v>
      </c>
      <c r="D48" s="18">
        <v>56</v>
      </c>
      <c r="G48" s="7" t="s">
        <v>19</v>
      </c>
      <c r="H48" t="s">
        <v>1116</v>
      </c>
      <c r="I48">
        <v>56</v>
      </c>
      <c r="K48" s="7" t="s">
        <v>19</v>
      </c>
      <c r="L48" t="s">
        <v>1116</v>
      </c>
      <c r="M48">
        <v>3391.1</v>
      </c>
    </row>
    <row r="49" spans="1:13" x14ac:dyDescent="0.25">
      <c r="A49" t="s">
        <v>19</v>
      </c>
      <c r="B49" t="s">
        <v>700</v>
      </c>
      <c r="C49" s="18">
        <v>30.8</v>
      </c>
      <c r="D49" s="18">
        <v>2</v>
      </c>
      <c r="G49" s="7" t="s">
        <v>19</v>
      </c>
      <c r="H49" t="s">
        <v>700</v>
      </c>
      <c r="I49">
        <v>2</v>
      </c>
      <c r="K49" s="7" t="s">
        <v>19</v>
      </c>
      <c r="L49" t="s">
        <v>700</v>
      </c>
      <c r="M49">
        <v>30.8</v>
      </c>
    </row>
    <row r="50" spans="1:13" x14ac:dyDescent="0.25">
      <c r="A50" t="s">
        <v>19</v>
      </c>
      <c r="B50" t="s">
        <v>268</v>
      </c>
      <c r="C50" s="18">
        <v>332.3</v>
      </c>
      <c r="D50" s="18">
        <v>8</v>
      </c>
      <c r="G50" s="7" t="s">
        <v>19</v>
      </c>
      <c r="H50" t="s">
        <v>268</v>
      </c>
      <c r="I50">
        <v>8</v>
      </c>
      <c r="K50" s="7" t="s">
        <v>19</v>
      </c>
      <c r="L50" t="s">
        <v>268</v>
      </c>
      <c r="M50">
        <v>332.3</v>
      </c>
    </row>
    <row r="51" spans="1:13" x14ac:dyDescent="0.25">
      <c r="A51" t="s">
        <v>19</v>
      </c>
      <c r="B51" t="s">
        <v>377</v>
      </c>
      <c r="C51" s="18">
        <v>3175.9999999999995</v>
      </c>
      <c r="D51" s="18">
        <v>52</v>
      </c>
      <c r="G51" s="7" t="s">
        <v>19</v>
      </c>
      <c r="H51" t="s">
        <v>377</v>
      </c>
      <c r="I51">
        <v>52</v>
      </c>
      <c r="K51" s="7" t="s">
        <v>19</v>
      </c>
      <c r="L51" t="s">
        <v>377</v>
      </c>
      <c r="M51">
        <v>3175.9999999999995</v>
      </c>
    </row>
    <row r="52" spans="1:13" x14ac:dyDescent="0.25">
      <c r="A52" t="s">
        <v>19</v>
      </c>
      <c r="B52" t="s">
        <v>108</v>
      </c>
      <c r="C52" s="18">
        <v>20939.600000000002</v>
      </c>
      <c r="D52" s="18">
        <v>295</v>
      </c>
      <c r="G52" s="7" t="s">
        <v>19</v>
      </c>
      <c r="H52" t="s">
        <v>108</v>
      </c>
      <c r="I52">
        <v>295</v>
      </c>
      <c r="K52" s="7" t="s">
        <v>19</v>
      </c>
      <c r="L52" t="s">
        <v>108</v>
      </c>
      <c r="M52">
        <v>20939.600000000002</v>
      </c>
    </row>
    <row r="53" spans="1:13" x14ac:dyDescent="0.25">
      <c r="A53" t="s">
        <v>19</v>
      </c>
      <c r="B53" t="s">
        <v>110</v>
      </c>
      <c r="C53" s="18">
        <v>10185.899999999996</v>
      </c>
      <c r="D53" s="18">
        <v>195</v>
      </c>
      <c r="G53" s="7" t="s">
        <v>19</v>
      </c>
      <c r="H53" t="s">
        <v>110</v>
      </c>
      <c r="I53">
        <v>195</v>
      </c>
      <c r="K53" s="7" t="s">
        <v>19</v>
      </c>
      <c r="L53" t="s">
        <v>110</v>
      </c>
      <c r="M53">
        <v>10185.899999999996</v>
      </c>
    </row>
    <row r="54" spans="1:13" x14ac:dyDescent="0.25">
      <c r="A54" t="s">
        <v>19</v>
      </c>
      <c r="B54" t="s">
        <v>292</v>
      </c>
      <c r="C54" s="18">
        <v>958.7</v>
      </c>
      <c r="D54" s="18">
        <v>20</v>
      </c>
      <c r="G54" s="7" t="s">
        <v>19</v>
      </c>
      <c r="H54" t="s">
        <v>292</v>
      </c>
      <c r="I54">
        <v>20</v>
      </c>
      <c r="K54" s="7" t="s">
        <v>19</v>
      </c>
      <c r="L54" t="s">
        <v>292</v>
      </c>
      <c r="M54">
        <v>958.7</v>
      </c>
    </row>
    <row r="55" spans="1:13" x14ac:dyDescent="0.25">
      <c r="A55" t="s">
        <v>19</v>
      </c>
      <c r="B55" t="s">
        <v>79</v>
      </c>
      <c r="C55" s="18">
        <v>323</v>
      </c>
      <c r="D55" s="18">
        <v>6</v>
      </c>
      <c r="G55" s="7" t="s">
        <v>19</v>
      </c>
      <c r="H55" t="s">
        <v>79</v>
      </c>
      <c r="I55">
        <v>6</v>
      </c>
      <c r="K55" s="7" t="s">
        <v>19</v>
      </c>
      <c r="L55" t="s">
        <v>79</v>
      </c>
      <c r="M55">
        <v>323</v>
      </c>
    </row>
    <row r="56" spans="1:13" x14ac:dyDescent="0.25">
      <c r="A56" t="s">
        <v>19</v>
      </c>
      <c r="B56" t="s">
        <v>608</v>
      </c>
      <c r="C56" s="18">
        <v>167.70000000000002</v>
      </c>
      <c r="D56" s="18">
        <v>5</v>
      </c>
      <c r="G56" s="7" t="s">
        <v>19</v>
      </c>
      <c r="H56" t="s">
        <v>608</v>
      </c>
      <c r="I56">
        <v>5</v>
      </c>
      <c r="K56" s="7" t="s">
        <v>19</v>
      </c>
      <c r="L56" t="s">
        <v>608</v>
      </c>
      <c r="M56">
        <v>167.70000000000002</v>
      </c>
    </row>
    <row r="57" spans="1:13" x14ac:dyDescent="0.25">
      <c r="A57" t="s">
        <v>19</v>
      </c>
      <c r="B57" t="s">
        <v>113</v>
      </c>
      <c r="C57" s="18">
        <v>3978.5</v>
      </c>
      <c r="D57" s="18">
        <v>94</v>
      </c>
      <c r="G57" s="7" t="s">
        <v>19</v>
      </c>
      <c r="H57" t="s">
        <v>113</v>
      </c>
      <c r="I57">
        <v>94</v>
      </c>
      <c r="K57" s="7" t="s">
        <v>19</v>
      </c>
      <c r="L57" t="s">
        <v>113</v>
      </c>
      <c r="M57">
        <v>3978.5</v>
      </c>
    </row>
    <row r="58" spans="1:13" x14ac:dyDescent="0.25">
      <c r="A58" t="s">
        <v>19</v>
      </c>
      <c r="B58" t="s">
        <v>997</v>
      </c>
      <c r="C58" s="18">
        <v>1405</v>
      </c>
      <c r="D58" s="18">
        <v>28</v>
      </c>
      <c r="G58" s="7" t="s">
        <v>19</v>
      </c>
      <c r="H58" t="s">
        <v>997</v>
      </c>
      <c r="I58">
        <v>28</v>
      </c>
      <c r="K58" s="7" t="s">
        <v>19</v>
      </c>
      <c r="L58" t="s">
        <v>997</v>
      </c>
      <c r="M58">
        <v>1405</v>
      </c>
    </row>
    <row r="59" spans="1:13" x14ac:dyDescent="0.25">
      <c r="A59" t="s">
        <v>19</v>
      </c>
      <c r="B59" t="s">
        <v>82</v>
      </c>
      <c r="C59" s="18">
        <v>9869.0999999999985</v>
      </c>
      <c r="D59" s="18">
        <v>179</v>
      </c>
      <c r="G59" s="7" t="s">
        <v>19</v>
      </c>
      <c r="H59" t="s">
        <v>82</v>
      </c>
      <c r="I59">
        <v>179</v>
      </c>
      <c r="K59" s="7" t="s">
        <v>19</v>
      </c>
      <c r="L59" t="s">
        <v>82</v>
      </c>
      <c r="M59">
        <v>9869.0999999999985</v>
      </c>
    </row>
    <row r="60" spans="1:13" x14ac:dyDescent="0.25">
      <c r="A60" t="s">
        <v>19</v>
      </c>
      <c r="B60" t="s">
        <v>243</v>
      </c>
      <c r="C60" s="18">
        <v>615.29999999999995</v>
      </c>
      <c r="D60" s="18">
        <v>15</v>
      </c>
      <c r="G60" s="7" t="s">
        <v>19</v>
      </c>
      <c r="H60" t="s">
        <v>243</v>
      </c>
      <c r="I60">
        <v>15</v>
      </c>
      <c r="K60" s="7" t="s">
        <v>19</v>
      </c>
      <c r="L60" t="s">
        <v>243</v>
      </c>
      <c r="M60">
        <v>615.29999999999995</v>
      </c>
    </row>
    <row r="61" spans="1:13" x14ac:dyDescent="0.25">
      <c r="A61" t="s">
        <v>19</v>
      </c>
      <c r="B61" t="s">
        <v>1911</v>
      </c>
      <c r="C61" s="18">
        <v>285</v>
      </c>
      <c r="D61" s="18">
        <v>3</v>
      </c>
      <c r="G61" s="14" t="s">
        <v>19</v>
      </c>
      <c r="H61" t="s">
        <v>1911</v>
      </c>
      <c r="I61">
        <v>3</v>
      </c>
      <c r="K61" s="14" t="s">
        <v>19</v>
      </c>
      <c r="L61" t="s">
        <v>1911</v>
      </c>
      <c r="M61">
        <v>285</v>
      </c>
    </row>
    <row r="62" spans="1:13" x14ac:dyDescent="0.25">
      <c r="A62" t="s">
        <v>2535</v>
      </c>
      <c r="B62" t="s">
        <v>2535</v>
      </c>
      <c r="C62" s="18"/>
      <c r="D62" s="1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1D694-797A-4389-88C3-BF22238E6BD3}">
  <dimension ref="A3:B19"/>
  <sheetViews>
    <sheetView workbookViewId="0">
      <selection activeCell="B4" sqref="B4"/>
    </sheetView>
  </sheetViews>
  <sheetFormatPr defaultRowHeight="15" x14ac:dyDescent="0.25"/>
  <cols>
    <col min="1" max="1" width="13.42578125" bestFit="1" customWidth="1"/>
    <col min="2" max="2" width="14" bestFit="1" customWidth="1"/>
  </cols>
  <sheetData>
    <row r="3" spans="1:2" x14ac:dyDescent="0.25">
      <c r="A3" s="8" t="s">
        <v>2528</v>
      </c>
      <c r="B3" t="s">
        <v>2519</v>
      </c>
    </row>
    <row r="4" spans="1:2" x14ac:dyDescent="0.25">
      <c r="A4" s="9">
        <v>0</v>
      </c>
      <c r="B4" s="18">
        <v>175</v>
      </c>
    </row>
    <row r="5" spans="1:2" x14ac:dyDescent="0.25">
      <c r="A5" s="9">
        <v>1</v>
      </c>
      <c r="B5" s="18">
        <v>888</v>
      </c>
    </row>
    <row r="6" spans="1:2" x14ac:dyDescent="0.25">
      <c r="A6" s="9">
        <v>2</v>
      </c>
      <c r="B6" s="18">
        <v>538</v>
      </c>
    </row>
    <row r="7" spans="1:2" x14ac:dyDescent="0.25">
      <c r="A7" s="9">
        <v>3</v>
      </c>
      <c r="B7" s="18">
        <v>344</v>
      </c>
    </row>
    <row r="8" spans="1:2" x14ac:dyDescent="0.25">
      <c r="A8" s="9">
        <v>4</v>
      </c>
      <c r="B8" s="18">
        <v>200</v>
      </c>
    </row>
    <row r="9" spans="1:2" x14ac:dyDescent="0.25">
      <c r="A9" s="9">
        <v>5</v>
      </c>
      <c r="B9" s="18">
        <v>94</v>
      </c>
    </row>
    <row r="10" spans="1:2" x14ac:dyDescent="0.25">
      <c r="A10" s="9">
        <v>6</v>
      </c>
      <c r="B10" s="18">
        <v>51</v>
      </c>
    </row>
    <row r="11" spans="1:2" x14ac:dyDescent="0.25">
      <c r="A11" s="9">
        <v>7</v>
      </c>
      <c r="B11" s="18">
        <v>32</v>
      </c>
    </row>
    <row r="12" spans="1:2" x14ac:dyDescent="0.25">
      <c r="A12" s="9">
        <v>8</v>
      </c>
      <c r="B12" s="18">
        <v>23</v>
      </c>
    </row>
    <row r="13" spans="1:2" x14ac:dyDescent="0.25">
      <c r="A13" s="9">
        <v>9</v>
      </c>
      <c r="B13" s="18">
        <v>9</v>
      </c>
    </row>
    <row r="14" spans="1:2" x14ac:dyDescent="0.25">
      <c r="A14" s="9">
        <v>10</v>
      </c>
      <c r="B14" s="18">
        <v>8</v>
      </c>
    </row>
    <row r="15" spans="1:2" x14ac:dyDescent="0.25">
      <c r="A15" s="9">
        <v>11</v>
      </c>
      <c r="B15" s="18">
        <v>11</v>
      </c>
    </row>
    <row r="16" spans="1:2" x14ac:dyDescent="0.25">
      <c r="A16" s="9">
        <v>12</v>
      </c>
      <c r="B16" s="18">
        <v>4</v>
      </c>
    </row>
    <row r="17" spans="1:2" x14ac:dyDescent="0.25">
      <c r="A17" s="9">
        <v>13</v>
      </c>
      <c r="B17" s="18">
        <v>10</v>
      </c>
    </row>
    <row r="18" spans="1:2" x14ac:dyDescent="0.25">
      <c r="A18" s="9">
        <v>14</v>
      </c>
      <c r="B18" s="18">
        <v>13</v>
      </c>
    </row>
    <row r="19" spans="1:2" x14ac:dyDescent="0.25">
      <c r="A19" s="9" t="s">
        <v>2529</v>
      </c>
      <c r="B19" s="18">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E8BA-30C1-4709-8AAA-0D5AEC78C96D}">
  <dimension ref="A3:G8"/>
  <sheetViews>
    <sheetView workbookViewId="0">
      <selection activeCell="B3" sqref="B3"/>
    </sheetView>
  </sheetViews>
  <sheetFormatPr defaultRowHeight="15" x14ac:dyDescent="0.25"/>
  <cols>
    <col min="1" max="1" width="14" bestFit="1" customWidth="1"/>
    <col min="2" max="2" width="16.85546875" bestFit="1" customWidth="1"/>
    <col min="3" max="4" width="4" bestFit="1" customWidth="1"/>
    <col min="5" max="5" width="5" bestFit="1" customWidth="1"/>
    <col min="6" max="6" width="4" bestFit="1" customWidth="1"/>
    <col min="7" max="7" width="11.28515625" bestFit="1" customWidth="1"/>
    <col min="8" max="89" width="10.42578125" bestFit="1" customWidth="1"/>
    <col min="90" max="90" width="7.28515625" bestFit="1" customWidth="1"/>
    <col min="91" max="91" width="11.28515625" bestFit="1" customWidth="1"/>
  </cols>
  <sheetData>
    <row r="3" spans="1:7" x14ac:dyDescent="0.25">
      <c r="A3" s="8" t="s">
        <v>2519</v>
      </c>
      <c r="B3" s="8" t="s">
        <v>2530</v>
      </c>
    </row>
    <row r="4" spans="1:7" x14ac:dyDescent="0.25">
      <c r="A4" s="8" t="s">
        <v>2528</v>
      </c>
      <c r="B4">
        <v>1</v>
      </c>
      <c r="C4">
        <v>2</v>
      </c>
      <c r="D4">
        <v>3</v>
      </c>
      <c r="E4">
        <v>4</v>
      </c>
      <c r="F4">
        <v>5</v>
      </c>
      <c r="G4" t="s">
        <v>2529</v>
      </c>
    </row>
    <row r="5" spans="1:7" x14ac:dyDescent="0.25">
      <c r="A5" s="9" t="s">
        <v>2539</v>
      </c>
      <c r="B5" s="18">
        <v>7</v>
      </c>
      <c r="C5" s="18">
        <v>37</v>
      </c>
      <c r="D5" s="18">
        <v>150</v>
      </c>
      <c r="E5" s="18">
        <v>312</v>
      </c>
      <c r="F5" s="18">
        <v>224</v>
      </c>
      <c r="G5" s="18">
        <v>730</v>
      </c>
    </row>
    <row r="6" spans="1:7" x14ac:dyDescent="0.25">
      <c r="A6" s="9" t="s">
        <v>2540</v>
      </c>
      <c r="B6" s="18">
        <v>8</v>
      </c>
      <c r="C6" s="18">
        <v>51</v>
      </c>
      <c r="D6" s="18">
        <v>182</v>
      </c>
      <c r="E6" s="18">
        <v>373</v>
      </c>
      <c r="F6" s="18">
        <v>247</v>
      </c>
      <c r="G6" s="18">
        <v>861</v>
      </c>
    </row>
    <row r="7" spans="1:7" x14ac:dyDescent="0.25">
      <c r="A7" s="9" t="s">
        <v>2541</v>
      </c>
      <c r="B7" s="18">
        <v>6</v>
      </c>
      <c r="C7" s="18">
        <v>39</v>
      </c>
      <c r="D7" s="18">
        <v>163</v>
      </c>
      <c r="E7" s="18">
        <v>351</v>
      </c>
      <c r="F7" s="18">
        <v>250</v>
      </c>
      <c r="G7" s="18">
        <v>809</v>
      </c>
    </row>
    <row r="8" spans="1:7" x14ac:dyDescent="0.25">
      <c r="A8" s="9" t="s">
        <v>2529</v>
      </c>
      <c r="B8" s="18">
        <v>21</v>
      </c>
      <c r="C8" s="18">
        <v>127</v>
      </c>
      <c r="D8" s="18">
        <v>495</v>
      </c>
      <c r="E8" s="18">
        <v>1036</v>
      </c>
      <c r="F8" s="18">
        <v>721</v>
      </c>
      <c r="G8" s="18">
        <v>2400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zoomScale="145" zoomScaleNormal="145" workbookViewId="0">
      <selection activeCell="A2" sqref="A1:XFD1048576"/>
    </sheetView>
  </sheetViews>
  <sheetFormatPr defaultRowHeight="15" x14ac:dyDescent="0.25"/>
  <cols>
    <col min="2" max="2" width="19.140625" bestFit="1" customWidth="1"/>
    <col min="3" max="3" width="8.140625" bestFit="1" customWidth="1"/>
    <col min="4" max="4" width="9.140625" bestFit="1" customWidth="1"/>
    <col min="5" max="5" width="7.42578125" bestFit="1" customWidth="1"/>
    <col min="6" max="6" width="10" bestFit="1" customWidth="1"/>
    <col min="7" max="7" width="9.42578125" bestFit="1" customWidth="1"/>
    <col min="8" max="8" width="15.7109375" bestFit="1" customWidth="1"/>
    <col min="9" max="9" width="10.7109375" bestFit="1" customWidth="1"/>
    <col min="10" max="10" width="7.7109375" bestFit="1" customWidth="1"/>
    <col min="11" max="11" width="8.7109375" bestFit="1" customWidth="1"/>
    <col min="12" max="12" width="19.7109375" bestFit="1" customWidth="1"/>
    <col min="13" max="13" width="13.28515625" bestFit="1" customWidth="1"/>
    <col min="14" max="14" width="9.28515625" bestFit="1" customWidth="1"/>
    <col min="15" max="15" width="12.140625" bestFit="1"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5" x14ac:dyDescent="0.25"/>
  <cols>
    <col min="1" max="1" width="3.7109375" customWidth="1"/>
    <col min="2" max="2" width="52.7109375" customWidth="1"/>
  </cols>
  <sheetData>
    <row r="2" spans="2:2" x14ac:dyDescent="0.25">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x14ac:dyDescent="0.25">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2CD54-6E31-4A95-A64B-395046909232}">
  <dimension ref="D1"/>
  <sheetViews>
    <sheetView showGridLines="0" tabSelected="1" zoomScale="85" zoomScaleNormal="85" workbookViewId="0">
      <selection activeCell="J58" sqref="J58"/>
    </sheetView>
  </sheetViews>
  <sheetFormatPr defaultRowHeight="15" x14ac:dyDescent="0.25"/>
  <cols>
    <col min="1" max="1" width="6.140625" customWidth="1"/>
    <col min="2" max="2" width="20.7109375" customWidth="1"/>
    <col min="3" max="3" width="10.42578125" customWidth="1"/>
  </cols>
  <sheetData>
    <row r="1" spans="4:4" x14ac:dyDescent="0.25">
      <c r="D1" s="7"/>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Product by Qty</vt:lpstr>
      <vt:lpstr>Summary Trend</vt:lpstr>
      <vt:lpstr>Channel Analysis</vt:lpstr>
      <vt:lpstr>Order Quantity</vt:lpstr>
      <vt:lpstr>Giographical Analysis</vt:lpstr>
      <vt:lpstr>Shipment Duration</vt:lpstr>
      <vt:lpstr>Customer Satisfaction</vt:lpstr>
      <vt:lpstr>Data</vt:lpstr>
      <vt:lpstr>Questions &amp; KPIs</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Ashik Patel</cp:lastModifiedBy>
  <dcterms:created xsi:type="dcterms:W3CDTF">2025-06-13T02:42:26Z</dcterms:created>
  <dcterms:modified xsi:type="dcterms:W3CDTF">2026-02-12T14:24:00Z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2026-02-11T23:08:09Z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298f8837-2ff9-40f2-aa16-4365ea7450ec</vt:lpwstr>
  </property>
  <property fmtid="{D5CDD505-2E9C-101B-9397-08002B2CF9AE}" pid="7" name="MSIP_Label_defa4170-0d19-0005-0004-bc88714345d2_ActionId">
    <vt:lpwstr>a3c34954-5e99-4648-be64-462eeeaba607</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